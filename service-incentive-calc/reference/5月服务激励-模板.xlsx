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550" tabRatio="600" firstSheet="0" activeTab="2" autoFilterDateGrouping="1"/>
  </bookViews>
  <sheets>
    <sheet xmlns:r="http://schemas.openxmlformats.org/officeDocument/2006/relationships" name="激励方案" sheetId="1" state="visible" r:id="rId1"/>
    <sheet xmlns:r="http://schemas.openxmlformats.org/officeDocument/2006/relationships" name="激励汇总" sheetId="2" state="visible" r:id="rId2"/>
    <sheet xmlns:r="http://schemas.openxmlformats.org/officeDocument/2006/relationships" name="激励项" sheetId="3" state="visible" r:id="rId3"/>
  </sheets>
  <externalReferences>
    <externalReference xmlns:r="http://schemas.openxmlformats.org/officeDocument/2006/relationships" r:id="rId4"/>
  </externalReferences>
  <definedNames>
    <definedName name="_0cb61c9b273a462daab683f9b7d3cf7b" hidden="1">'[1]数据源（TL&amp;续费owner激励）'!$AG$5</definedName>
    <definedName name="_058ef6e2f44a435891a5fdeb3092a21d" hidden="1">'[1]数据源（TL&amp;续费owner激励）'!$D$16</definedName>
    <definedName name="_04e0d041c72a496088f830f216b542a3" hidden="1">'[1]M0-LP激励数据源'!#REF!</definedName>
    <definedName name="_0ac38b4db59d4a79bed06c1870469a32" hidden="1">#REF!</definedName>
    <definedName name="_05781e1e31cc41588fa1e5cae16f9347" hidden="1">#REF!</definedName>
    <definedName name="_001f7d704b7e43d690dc36cfd41fac4e" hidden="1">#REF!</definedName>
    <definedName name="_0ac38b4db59d4a79bed06c1870469a32" localSheetId="2" hidden="1">激励项!$AM$7</definedName>
    <definedName name="_05781e1e31cc41588fa1e5cae16f9347" localSheetId="2" hidden="1">激励项!#REF!</definedName>
    <definedName name="_001f7d704b7e43d690dc36cfd41fac4e" localSheetId="2" hidden="1">激励项!#REF!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_ "/>
    <numFmt numFmtId="166" formatCode="0.00_ "/>
  </numFmts>
  <fonts count="3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rgb="FF1F2329"/>
      <sz val="10"/>
    </font>
    <font>
      <name val="微软雅黑"/>
      <charset val="134"/>
      <b val="1"/>
      <color theme="1"/>
      <sz val="11"/>
    </font>
    <font>
      <name val="微软雅黑"/>
      <charset val="134"/>
      <b val="1"/>
      <color indexed="8"/>
      <sz val="11"/>
    </font>
    <font>
      <name val="微软雅黑"/>
      <charset val="134"/>
      <b val="1"/>
      <sz val="12"/>
    </font>
    <font>
      <name val="微软雅黑"/>
      <charset val="134"/>
      <b val="1"/>
      <sz val="9"/>
    </font>
    <font>
      <name val="微软雅黑"/>
      <charset val="134"/>
      <b val="1"/>
      <sz val="11"/>
    </font>
    <font>
      <name val="微软雅黑"/>
      <charset val="134"/>
      <sz val="11"/>
    </font>
    <font>
      <name val="微软雅黑"/>
      <charset val="134"/>
      <color theme="1"/>
      <sz val="10"/>
    </font>
    <font>
      <name val="微软雅黑"/>
      <charset val="134"/>
      <color indexed="8"/>
      <sz val="10"/>
    </font>
    <font>
      <name val="微软雅黑"/>
      <charset val="134"/>
      <color rgb="FF1F2329"/>
      <sz val="9"/>
    </font>
    <font>
      <name val="微软雅黑"/>
      <charset val="134"/>
      <b val="1"/>
      <color rgb="FFFFFFFF"/>
      <sz val="9"/>
    </font>
    <font>
      <name val="宋体"/>
      <charset val="134"/>
      <color rgb="FF1F2329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2329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8" borderId="1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7" applyAlignment="1">
      <alignment vertical="center"/>
    </xf>
    <xf numFmtId="0" fontId="21" fillId="0" borderId="17" applyAlignment="1">
      <alignment vertical="center"/>
    </xf>
    <xf numFmtId="0" fontId="22" fillId="0" borderId="18" applyAlignment="1">
      <alignment vertical="center"/>
    </xf>
    <xf numFmtId="0" fontId="22" fillId="0" borderId="0" applyAlignment="1">
      <alignment vertical="center"/>
    </xf>
    <xf numFmtId="0" fontId="23" fillId="9" borderId="19" applyAlignment="1">
      <alignment vertical="center"/>
    </xf>
    <xf numFmtId="0" fontId="24" fillId="10" borderId="20" applyAlignment="1">
      <alignment vertical="center"/>
    </xf>
    <xf numFmtId="0" fontId="25" fillId="10" borderId="19" applyAlignment="1">
      <alignment vertical="center"/>
    </xf>
    <xf numFmtId="0" fontId="26" fillId="11" borderId="21" applyAlignment="1">
      <alignment vertical="center"/>
    </xf>
    <xf numFmtId="0" fontId="27" fillId="0" borderId="22" applyAlignment="1">
      <alignment vertical="center"/>
    </xf>
    <xf numFmtId="0" fontId="28" fillId="0" borderId="23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3" fillId="36" borderId="0" applyAlignment="1">
      <alignment vertical="center"/>
    </xf>
    <xf numFmtId="0" fontId="33" fillId="37" borderId="0" applyAlignment="1">
      <alignment vertical="center"/>
    </xf>
    <xf numFmtId="0" fontId="32" fillId="38" borderId="0" applyAlignment="1">
      <alignment vertical="center"/>
    </xf>
    <xf numFmtId="0" fontId="0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49">
      <alignment horizontal="center" vertical="center" wrapText="1"/>
    </xf>
    <xf numFmtId="0" fontId="6" fillId="2" borderId="1" applyAlignment="1" pivotButton="0" quotePrefix="0" xfId="49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0" fontId="2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165" fontId="2" fillId="4" borderId="1" applyAlignment="1" pivotButton="0" quotePrefix="0" xfId="3">
      <alignment horizontal="center" vertical="center"/>
    </xf>
    <xf numFmtId="0" fontId="6" fillId="2" borderId="4" applyAlignment="1" pivotButton="0" quotePrefix="0" xfId="49">
      <alignment horizontal="center" vertical="center" wrapText="1"/>
    </xf>
    <xf numFmtId="0" fontId="0" fillId="0" borderId="5" pivotButton="0" quotePrefix="0" xfId="0"/>
    <xf numFmtId="0" fontId="2" fillId="0" borderId="4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2" fillId="5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10" fontId="2" fillId="4" borderId="9" applyAlignment="1" pivotButton="0" quotePrefix="0" xfId="3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/>
    </xf>
    <xf numFmtId="0" fontId="13" fillId="7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5" borderId="14" applyAlignment="1" pivotButton="0" quotePrefix="0" xfId="0">
      <alignment horizontal="center" vertical="center"/>
    </xf>
    <xf numFmtId="0" fontId="0" fillId="0" borderId="15" pivotButton="0" quotePrefix="0" xfId="0"/>
    <xf numFmtId="0" fontId="14" fillId="5" borderId="14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3">
      <alignment horizontal="center" vertical="center"/>
    </xf>
    <xf numFmtId="164" fontId="2" fillId="0" borderId="2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1&#26376;LP&#32493;&#36153;&#28608;&#21169;-02.01-v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激励方案"/>
      <sheetName val="激励汇总（TL&amp;续费owner&amp;M0-LP）"/>
      <sheetName val="LP激励汇总"/>
      <sheetName val="数据源（TL&amp;续费owner激励）"/>
      <sheetName val="M0-LP激励数据源"/>
      <sheetName val="LP激励数据源"/>
      <sheetName val="订单明细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B4" t="str">
            <v>团队</v>
          </cell>
        </row>
        <row r="4">
          <cell r="F4" t="str">
            <v>主管</v>
          </cell>
          <cell r="G4" t="str">
            <v>姓名</v>
          </cell>
          <cell r="H4" t="str">
            <v>员工编号</v>
          </cell>
        </row>
        <row r="5">
          <cell r="G5" t="str">
            <v>孙佳娣</v>
          </cell>
          <cell r="H5" t="str">
            <v>H0024967</v>
          </cell>
        </row>
        <row r="6">
          <cell r="B6" t="str">
            <v>台湾益智教学服务区</v>
          </cell>
        </row>
        <row r="6">
          <cell r="F6" t="str">
            <v>李文韬</v>
          </cell>
          <cell r="G6" t="str">
            <v>李文韬</v>
          </cell>
          <cell r="H6" t="str">
            <v>H0019538</v>
          </cell>
        </row>
        <row r="7">
          <cell r="B7" t="str">
            <v>台湾益智教学服务区</v>
          </cell>
        </row>
        <row r="7">
          <cell r="F7" t="str">
            <v>李文韬</v>
          </cell>
          <cell r="G7" t="str">
            <v>陈旺梅</v>
          </cell>
          <cell r="H7" t="str">
            <v>H0029302</v>
          </cell>
        </row>
        <row r="8">
          <cell r="B8" t="str">
            <v>台湾益智教学服务区</v>
          </cell>
        </row>
        <row r="8">
          <cell r="F8" t="str">
            <v>李文韬</v>
          </cell>
          <cell r="G8" t="str">
            <v>季晓静</v>
          </cell>
          <cell r="H8" t="str">
            <v>H0029459</v>
          </cell>
        </row>
        <row r="9">
          <cell r="B9" t="str">
            <v>台湾益智教学服务区</v>
          </cell>
        </row>
        <row r="9">
          <cell r="F9" t="str">
            <v>李文韬</v>
          </cell>
          <cell r="G9" t="str">
            <v>郑舒婷</v>
          </cell>
          <cell r="H9" t="str">
            <v>H0029571</v>
          </cell>
        </row>
        <row r="10">
          <cell r="B10" t="str">
            <v>大连益智教学服务区</v>
          </cell>
        </row>
        <row r="10">
          <cell r="G10" t="str">
            <v>毕金玲</v>
          </cell>
          <cell r="H10" t="str">
            <v>H0017368</v>
          </cell>
        </row>
        <row r="11">
          <cell r="B11" t="str">
            <v>大连益智教学服务区</v>
          </cell>
        </row>
        <row r="11">
          <cell r="F11" t="str">
            <v>毕金玲</v>
          </cell>
          <cell r="G11" t="str">
            <v>臧婉彤</v>
          </cell>
          <cell r="H11" t="str">
            <v>H0029666</v>
          </cell>
        </row>
        <row r="12">
          <cell r="B12" t="str">
            <v>大连益智教学服务区</v>
          </cell>
        </row>
        <row r="12">
          <cell r="F12" t="str">
            <v>谢昌馥</v>
          </cell>
          <cell r="G12" t="str">
            <v>路月琢</v>
          </cell>
          <cell r="H12" t="str">
            <v>H0014459</v>
          </cell>
        </row>
        <row r="13">
          <cell r="B13" t="str">
            <v>大连益智教学服务区</v>
          </cell>
        </row>
        <row r="13">
          <cell r="F13" t="str">
            <v>谢昌馥</v>
          </cell>
          <cell r="G13" t="str">
            <v>谢昌馥</v>
          </cell>
          <cell r="H13" t="str">
            <v>H0014460</v>
          </cell>
        </row>
        <row r="14">
          <cell r="B14" t="str">
            <v>大连益智教学服务区</v>
          </cell>
        </row>
        <row r="14">
          <cell r="F14" t="str">
            <v>谢昌馥</v>
          </cell>
          <cell r="G14" t="str">
            <v>张一欣</v>
          </cell>
          <cell r="H14" t="str">
            <v>H0014939</v>
          </cell>
        </row>
        <row r="15">
          <cell r="B15" t="str">
            <v>大连益智教学服务区</v>
          </cell>
        </row>
        <row r="15">
          <cell r="F15" t="str">
            <v>谢昌馥</v>
          </cell>
          <cell r="G15" t="str">
            <v>尹宏治</v>
          </cell>
          <cell r="H15" t="str">
            <v>H0017723</v>
          </cell>
        </row>
        <row r="16">
          <cell r="B16" t="str">
            <v>大连益智教学服务区</v>
          </cell>
        </row>
        <row r="16">
          <cell r="F16" t="str">
            <v>谢昌馥</v>
          </cell>
          <cell r="G16" t="str">
            <v>董思雨</v>
          </cell>
          <cell r="H16" t="str">
            <v>H0018168</v>
          </cell>
        </row>
        <row r="17">
          <cell r="B17" t="str">
            <v>大连益智教学服务区</v>
          </cell>
        </row>
        <row r="17">
          <cell r="F17" t="str">
            <v>谢昌馥</v>
          </cell>
          <cell r="G17" t="str">
            <v>郭欣怡</v>
          </cell>
          <cell r="H17" t="str">
            <v>H0021640</v>
          </cell>
        </row>
        <row r="18">
          <cell r="B18" t="str">
            <v>大连益智教学服务区</v>
          </cell>
        </row>
        <row r="18">
          <cell r="F18" t="str">
            <v>谢昌馥</v>
          </cell>
          <cell r="G18" t="str">
            <v>陶子良</v>
          </cell>
          <cell r="H18" t="str">
            <v>H0022568</v>
          </cell>
        </row>
        <row r="19">
          <cell r="B19" t="str">
            <v>大连益智教学服务区</v>
          </cell>
        </row>
        <row r="19">
          <cell r="F19" t="str">
            <v>谢昌馥</v>
          </cell>
          <cell r="G19" t="str">
            <v>李书悦</v>
          </cell>
          <cell r="H19" t="str">
            <v>H0022631</v>
          </cell>
        </row>
        <row r="20">
          <cell r="B20" t="str">
            <v>大连益智教学服务区</v>
          </cell>
        </row>
        <row r="20">
          <cell r="F20" t="str">
            <v>谢昌馥</v>
          </cell>
          <cell r="G20" t="str">
            <v>王新宇</v>
          </cell>
          <cell r="H20" t="str">
            <v>H0023926</v>
          </cell>
        </row>
        <row r="21">
          <cell r="B21" t="str">
            <v>大连益智教学服务区</v>
          </cell>
        </row>
        <row r="21">
          <cell r="F21" t="str">
            <v>谢昌馥</v>
          </cell>
          <cell r="G21" t="str">
            <v>尤鹤</v>
          </cell>
          <cell r="H21" t="str">
            <v>H0024779</v>
          </cell>
        </row>
        <row r="22">
          <cell r="B22" t="str">
            <v>大连益智教学服务区</v>
          </cell>
        </row>
        <row r="22">
          <cell r="F22" t="str">
            <v>谢昌馥</v>
          </cell>
          <cell r="G22" t="str">
            <v>孟瑶</v>
          </cell>
          <cell r="H22" t="str">
            <v>H0025873</v>
          </cell>
        </row>
        <row r="23">
          <cell r="B23" t="str">
            <v>大连益智教学服务区</v>
          </cell>
        </row>
        <row r="23">
          <cell r="F23" t="str">
            <v>谢昌馥</v>
          </cell>
          <cell r="G23" t="str">
            <v>安智建</v>
          </cell>
          <cell r="H23" t="str">
            <v>H0026608</v>
          </cell>
        </row>
        <row r="24">
          <cell r="B24" t="str">
            <v>大连益智教学服务区</v>
          </cell>
        </row>
        <row r="24">
          <cell r="F24" t="str">
            <v>谢昌馥</v>
          </cell>
          <cell r="G24" t="str">
            <v>李佳彦</v>
          </cell>
          <cell r="H24" t="str">
            <v>H0027389</v>
          </cell>
        </row>
        <row r="25">
          <cell r="B25" t="str">
            <v>大连益智教学服务区</v>
          </cell>
        </row>
        <row r="25">
          <cell r="F25" t="str">
            <v>谢昌馥</v>
          </cell>
          <cell r="G25" t="str">
            <v>李佳佳</v>
          </cell>
          <cell r="H25" t="str">
            <v>H0028081</v>
          </cell>
        </row>
        <row r="26">
          <cell r="B26" t="str">
            <v>大连益智教学服务区</v>
          </cell>
        </row>
        <row r="26">
          <cell r="F26" t="str">
            <v>谢昌馥</v>
          </cell>
          <cell r="G26" t="str">
            <v>张斌</v>
          </cell>
          <cell r="H26" t="str">
            <v>H0028956</v>
          </cell>
        </row>
        <row r="27">
          <cell r="B27" t="str">
            <v>大连益智教学服务区</v>
          </cell>
        </row>
        <row r="27">
          <cell r="F27" t="str">
            <v>谢昌馥</v>
          </cell>
          <cell r="G27" t="str">
            <v>芦小珍</v>
          </cell>
          <cell r="H27" t="str">
            <v>H0029647</v>
          </cell>
        </row>
        <row r="28">
          <cell r="B28" t="str">
            <v>大连益智教学服务区</v>
          </cell>
        </row>
        <row r="28">
          <cell r="F28" t="str">
            <v>刘洋</v>
          </cell>
          <cell r="G28" t="str">
            <v>孙浩</v>
          </cell>
          <cell r="H28" t="str">
            <v>ML009658</v>
          </cell>
        </row>
        <row r="29">
          <cell r="B29" t="str">
            <v>大连益智教学服务区</v>
          </cell>
        </row>
        <row r="29">
          <cell r="F29" t="str">
            <v>刘洋</v>
          </cell>
          <cell r="G29" t="str">
            <v>万美美</v>
          </cell>
          <cell r="H29" t="str">
            <v>ML009625</v>
          </cell>
        </row>
        <row r="30">
          <cell r="B30" t="str">
            <v>大连益智教学服务区</v>
          </cell>
        </row>
        <row r="30">
          <cell r="F30" t="str">
            <v>刘洋</v>
          </cell>
          <cell r="G30" t="str">
            <v>刘洋</v>
          </cell>
          <cell r="H30" t="str">
            <v>ML009947</v>
          </cell>
        </row>
        <row r="31">
          <cell r="B31" t="str">
            <v>大连益智教学服务区</v>
          </cell>
        </row>
        <row r="31">
          <cell r="F31" t="str">
            <v>刘洋</v>
          </cell>
          <cell r="G31" t="str">
            <v>金晨</v>
          </cell>
          <cell r="H31" t="str">
            <v>DM0005</v>
          </cell>
        </row>
        <row r="32">
          <cell r="B32" t="str">
            <v>大连益智教学服务区</v>
          </cell>
        </row>
        <row r="32">
          <cell r="F32" t="str">
            <v>刘洋</v>
          </cell>
          <cell r="G32" t="str">
            <v>吴迪</v>
          </cell>
          <cell r="H32" t="str">
            <v>H0015892</v>
          </cell>
        </row>
        <row r="33">
          <cell r="B33" t="str">
            <v>大连益智教学服务区</v>
          </cell>
        </row>
        <row r="33">
          <cell r="F33" t="str">
            <v>刘洋</v>
          </cell>
          <cell r="G33" t="str">
            <v>于淑艳</v>
          </cell>
          <cell r="H33" t="str">
            <v>H0016886</v>
          </cell>
        </row>
        <row r="34">
          <cell r="B34" t="str">
            <v>大连益智教学服务区</v>
          </cell>
        </row>
        <row r="34">
          <cell r="F34" t="str">
            <v>刘洋</v>
          </cell>
          <cell r="G34" t="str">
            <v>刘娇</v>
          </cell>
          <cell r="H34" t="str">
            <v>H0016969</v>
          </cell>
        </row>
        <row r="35">
          <cell r="B35" t="str">
            <v>大连益智教学服务区</v>
          </cell>
        </row>
        <row r="35">
          <cell r="F35" t="str">
            <v>刘洋</v>
          </cell>
          <cell r="G35" t="str">
            <v>刘明飞</v>
          </cell>
          <cell r="H35" t="str">
            <v>H0017728</v>
          </cell>
        </row>
        <row r="36">
          <cell r="B36" t="str">
            <v>大连益智教学服务区</v>
          </cell>
        </row>
        <row r="36">
          <cell r="F36" t="str">
            <v>刘洋</v>
          </cell>
          <cell r="G36" t="str">
            <v>董筠宜</v>
          </cell>
          <cell r="H36" t="str">
            <v>H0027504</v>
          </cell>
        </row>
        <row r="37">
          <cell r="B37" t="str">
            <v>大连益智教学服务区</v>
          </cell>
        </row>
        <row r="37">
          <cell r="F37" t="str">
            <v>刘洋</v>
          </cell>
          <cell r="G37" t="str">
            <v>蔡图雅</v>
          </cell>
          <cell r="H37" t="str">
            <v>H0019025</v>
          </cell>
        </row>
        <row r="38">
          <cell r="B38" t="str">
            <v>大连益智教学服务区</v>
          </cell>
        </row>
        <row r="38">
          <cell r="F38" t="str">
            <v>刘洋</v>
          </cell>
          <cell r="G38" t="str">
            <v>刘诗宜</v>
          </cell>
          <cell r="H38" t="str">
            <v>H0021400</v>
          </cell>
        </row>
        <row r="39">
          <cell r="B39" t="str">
            <v>大连益智教学服务区</v>
          </cell>
        </row>
        <row r="39">
          <cell r="F39" t="str">
            <v>刘洋</v>
          </cell>
          <cell r="G39" t="str">
            <v>王小苗</v>
          </cell>
          <cell r="H39" t="str">
            <v>H0024523</v>
          </cell>
        </row>
        <row r="40">
          <cell r="B40" t="str">
            <v>大连益智教学服务区</v>
          </cell>
        </row>
        <row r="40">
          <cell r="F40" t="str">
            <v>刘洋</v>
          </cell>
          <cell r="G40" t="str">
            <v>迟月</v>
          </cell>
          <cell r="H40" t="str">
            <v>H0024624</v>
          </cell>
        </row>
        <row r="41">
          <cell r="B41" t="str">
            <v>大连益智教学服务区</v>
          </cell>
        </row>
        <row r="41">
          <cell r="F41" t="str">
            <v>沙明亮</v>
          </cell>
          <cell r="G41" t="str">
            <v>冷林鑫</v>
          </cell>
          <cell r="H41" t="str">
            <v>ML009664</v>
          </cell>
        </row>
        <row r="42">
          <cell r="B42" t="str">
            <v>大连益智教学服务区</v>
          </cell>
        </row>
        <row r="42">
          <cell r="F42" t="str">
            <v>沙明亮</v>
          </cell>
          <cell r="G42" t="str">
            <v>李鑫</v>
          </cell>
          <cell r="H42" t="str">
            <v>H0014819</v>
          </cell>
        </row>
        <row r="43">
          <cell r="B43" t="str">
            <v>大连益智教学服务区</v>
          </cell>
        </row>
        <row r="43">
          <cell r="F43" t="str">
            <v>沙明亮</v>
          </cell>
          <cell r="G43" t="str">
            <v>刘笑</v>
          </cell>
          <cell r="H43" t="str">
            <v>H0015889</v>
          </cell>
        </row>
        <row r="44">
          <cell r="B44" t="str">
            <v>大连益智教学服务区</v>
          </cell>
        </row>
        <row r="44">
          <cell r="F44" t="str">
            <v>沙明亮</v>
          </cell>
          <cell r="G44" t="str">
            <v>沙明亮</v>
          </cell>
          <cell r="H44" t="str">
            <v>H0017485</v>
          </cell>
        </row>
        <row r="45">
          <cell r="B45" t="str">
            <v>大连益智教学服务区</v>
          </cell>
        </row>
        <row r="45">
          <cell r="F45" t="str">
            <v>沙明亮</v>
          </cell>
          <cell r="G45" t="str">
            <v>李松榕</v>
          </cell>
          <cell r="H45" t="str">
            <v>H0017844</v>
          </cell>
        </row>
        <row r="46">
          <cell r="B46" t="str">
            <v>大连益智教学服务区</v>
          </cell>
        </row>
        <row r="46">
          <cell r="F46" t="str">
            <v>沙明亮</v>
          </cell>
          <cell r="G46" t="str">
            <v>王旭</v>
          </cell>
          <cell r="H46" t="str">
            <v>H0018180</v>
          </cell>
        </row>
        <row r="47">
          <cell r="B47" t="str">
            <v>大连益智教学服务区</v>
          </cell>
        </row>
        <row r="47">
          <cell r="F47" t="str">
            <v>沙明亮</v>
          </cell>
          <cell r="G47" t="str">
            <v>孙玮</v>
          </cell>
          <cell r="H47" t="str">
            <v>H0020660</v>
          </cell>
        </row>
        <row r="48">
          <cell r="B48" t="str">
            <v>大连益智教学服务区</v>
          </cell>
        </row>
        <row r="48">
          <cell r="F48" t="str">
            <v>沙明亮</v>
          </cell>
          <cell r="G48" t="str">
            <v>白颖</v>
          </cell>
          <cell r="H48" t="str">
            <v>H0022370</v>
          </cell>
        </row>
        <row r="49">
          <cell r="B49" t="str">
            <v>大连益智教学服务区</v>
          </cell>
        </row>
        <row r="49">
          <cell r="F49" t="str">
            <v>沙明亮</v>
          </cell>
          <cell r="G49" t="str">
            <v>吕美萱</v>
          </cell>
          <cell r="H49" t="str">
            <v>H0022522</v>
          </cell>
        </row>
        <row r="50">
          <cell r="B50" t="str">
            <v>大连益智教学服务区</v>
          </cell>
        </row>
        <row r="50">
          <cell r="F50" t="str">
            <v>沙明亮</v>
          </cell>
          <cell r="G50" t="str">
            <v>王百慧</v>
          </cell>
          <cell r="H50" t="str">
            <v>H0028430</v>
          </cell>
        </row>
        <row r="51">
          <cell r="B51" t="str">
            <v>大连益智教学服务区</v>
          </cell>
        </row>
        <row r="51">
          <cell r="F51" t="str">
            <v>沙明亮</v>
          </cell>
          <cell r="G51" t="str">
            <v>梁媛</v>
          </cell>
          <cell r="H51" t="str">
            <v>H0028599</v>
          </cell>
        </row>
        <row r="52">
          <cell r="B52" t="str">
            <v>大连益智教学服务区</v>
          </cell>
        </row>
        <row r="52">
          <cell r="F52" t="str">
            <v>沙明亮</v>
          </cell>
          <cell r="G52" t="str">
            <v>邓翔睿</v>
          </cell>
          <cell r="H52" t="str">
            <v>H0028655</v>
          </cell>
        </row>
        <row r="53">
          <cell r="B53" t="str">
            <v>大连益智教学服务区</v>
          </cell>
        </row>
        <row r="53">
          <cell r="F53" t="str">
            <v>沙明亮</v>
          </cell>
          <cell r="G53" t="str">
            <v>石晓杰</v>
          </cell>
          <cell r="H53" t="str">
            <v>H0028914</v>
          </cell>
        </row>
        <row r="54">
          <cell r="B54" t="str">
            <v>大连益智教学服务区</v>
          </cell>
        </row>
        <row r="54">
          <cell r="F54" t="str">
            <v>邵婷婷</v>
          </cell>
          <cell r="G54" t="str">
            <v>郭津池</v>
          </cell>
          <cell r="H54" t="str">
            <v>ML009539</v>
          </cell>
        </row>
        <row r="55">
          <cell r="B55" t="str">
            <v>大连益智教学服务区</v>
          </cell>
        </row>
        <row r="55">
          <cell r="F55" t="str">
            <v>邵婷婷</v>
          </cell>
          <cell r="G55" t="str">
            <v>刘丹</v>
          </cell>
          <cell r="H55" t="str">
            <v>ML009999</v>
          </cell>
        </row>
        <row r="56">
          <cell r="B56" t="str">
            <v>大连益智教学服务区</v>
          </cell>
        </row>
        <row r="56">
          <cell r="F56" t="str">
            <v>邵婷婷</v>
          </cell>
          <cell r="G56" t="str">
            <v>曲慧</v>
          </cell>
          <cell r="H56" t="str">
            <v>H0016989</v>
          </cell>
        </row>
        <row r="57">
          <cell r="B57" t="str">
            <v>大连益智教学服务区</v>
          </cell>
        </row>
        <row r="57">
          <cell r="F57" t="str">
            <v>邵婷婷</v>
          </cell>
          <cell r="G57" t="str">
            <v>刘彤</v>
          </cell>
          <cell r="H57" t="str">
            <v>H0017414</v>
          </cell>
        </row>
        <row r="58">
          <cell r="B58" t="str">
            <v>大连益智教学服务区</v>
          </cell>
        </row>
        <row r="58">
          <cell r="F58" t="str">
            <v>邵婷婷</v>
          </cell>
          <cell r="G58" t="str">
            <v>邵婷婷</v>
          </cell>
          <cell r="H58" t="str">
            <v>H0018680</v>
          </cell>
        </row>
        <row r="59">
          <cell r="B59" t="str">
            <v>大连益智教学服务区</v>
          </cell>
        </row>
        <row r="59">
          <cell r="F59" t="str">
            <v>邵婷婷</v>
          </cell>
          <cell r="G59" t="str">
            <v>齐志昂</v>
          </cell>
          <cell r="H59" t="str">
            <v>H0020221</v>
          </cell>
        </row>
        <row r="60">
          <cell r="B60" t="str">
            <v>大连益智教学服务区</v>
          </cell>
        </row>
        <row r="60">
          <cell r="F60" t="str">
            <v>邵婷婷</v>
          </cell>
          <cell r="G60" t="str">
            <v>何况</v>
          </cell>
          <cell r="H60" t="str">
            <v>H0020848</v>
          </cell>
        </row>
        <row r="61">
          <cell r="B61" t="str">
            <v>大连益智教学服务区</v>
          </cell>
        </row>
        <row r="61">
          <cell r="F61" t="str">
            <v>邵婷婷</v>
          </cell>
          <cell r="G61" t="str">
            <v>田淇</v>
          </cell>
          <cell r="H61" t="str">
            <v>H0021401</v>
          </cell>
        </row>
        <row r="62">
          <cell r="B62" t="str">
            <v>大连益智教学服务区</v>
          </cell>
        </row>
        <row r="62">
          <cell r="F62" t="str">
            <v>邵婷婷</v>
          </cell>
          <cell r="G62" t="str">
            <v>张弛</v>
          </cell>
          <cell r="H62" t="str">
            <v>H0022803</v>
          </cell>
        </row>
        <row r="63">
          <cell r="B63" t="str">
            <v>大连益智教学服务区</v>
          </cell>
        </row>
        <row r="63">
          <cell r="F63" t="str">
            <v>邵婷婷</v>
          </cell>
          <cell r="G63" t="str">
            <v>王晨</v>
          </cell>
          <cell r="H63" t="str">
            <v>H0022958</v>
          </cell>
        </row>
        <row r="64">
          <cell r="B64" t="str">
            <v>大连益智教学服务区</v>
          </cell>
        </row>
        <row r="64">
          <cell r="F64" t="str">
            <v>邵婷婷</v>
          </cell>
          <cell r="G64" t="str">
            <v>杨妍</v>
          </cell>
          <cell r="H64" t="str">
            <v>H0024627</v>
          </cell>
        </row>
        <row r="65">
          <cell r="B65" t="str">
            <v>大连益智教学服务区</v>
          </cell>
        </row>
        <row r="65">
          <cell r="F65" t="str">
            <v>邵婷婷</v>
          </cell>
          <cell r="G65" t="str">
            <v>韩明昭</v>
          </cell>
          <cell r="H65" t="str">
            <v>H0026938</v>
          </cell>
        </row>
        <row r="66">
          <cell r="B66" t="str">
            <v>大连益智教学服务区</v>
          </cell>
        </row>
        <row r="66">
          <cell r="F66" t="str">
            <v>邵婷婷</v>
          </cell>
          <cell r="G66" t="str">
            <v>于卓言</v>
          </cell>
          <cell r="H66" t="str">
            <v>H0028431</v>
          </cell>
        </row>
        <row r="67">
          <cell r="B67" t="str">
            <v>大连益智教学服务区</v>
          </cell>
        </row>
        <row r="67">
          <cell r="F67" t="str">
            <v>毕金玲</v>
          </cell>
          <cell r="G67" t="str">
            <v>钱烁淯</v>
          </cell>
          <cell r="H67" t="str">
            <v>H0023927</v>
          </cell>
        </row>
        <row r="68">
          <cell r="B68" t="str">
            <v>大连益智教学服务区</v>
          </cell>
        </row>
        <row r="68">
          <cell r="F68" t="str">
            <v>毕金玲</v>
          </cell>
          <cell r="G68" t="str">
            <v>敖勇</v>
          </cell>
          <cell r="H68" t="str">
            <v>H0024846</v>
          </cell>
        </row>
        <row r="69">
          <cell r="B69" t="str">
            <v>大连益智教学服务区</v>
          </cell>
        </row>
        <row r="69">
          <cell r="F69" t="str">
            <v>毕金玲</v>
          </cell>
          <cell r="G69" t="str">
            <v>刘宇</v>
          </cell>
          <cell r="H69" t="str">
            <v>H0027947</v>
          </cell>
        </row>
        <row r="70">
          <cell r="B70" t="str">
            <v>大连益智教学服务区</v>
          </cell>
        </row>
        <row r="70">
          <cell r="F70" t="str">
            <v>毕金玲</v>
          </cell>
          <cell r="G70" t="str">
            <v>赵博</v>
          </cell>
          <cell r="H70" t="str">
            <v>H0028706</v>
          </cell>
        </row>
        <row r="71">
          <cell r="B71" t="str">
            <v>大连益智教学服务区</v>
          </cell>
        </row>
        <row r="71">
          <cell r="F71" t="str">
            <v>毕金玲</v>
          </cell>
          <cell r="G71" t="str">
            <v>高庆兰</v>
          </cell>
          <cell r="H71" t="str">
            <v>H0029092</v>
          </cell>
        </row>
        <row r="72">
          <cell r="B72" t="str">
            <v>大连益智教学服务区</v>
          </cell>
        </row>
        <row r="72">
          <cell r="F72" t="str">
            <v>毕金玲</v>
          </cell>
          <cell r="G72" t="str">
            <v>吕凤娟</v>
          </cell>
          <cell r="H72" t="str">
            <v>H0029141</v>
          </cell>
        </row>
        <row r="73">
          <cell r="B73" t="str">
            <v>大连益智教学服务区</v>
          </cell>
        </row>
        <row r="73">
          <cell r="F73" t="str">
            <v>毕金玲</v>
          </cell>
          <cell r="G73" t="str">
            <v>刘博</v>
          </cell>
          <cell r="H73" t="str">
            <v>H0029204</v>
          </cell>
        </row>
        <row r="74">
          <cell r="B74" t="str">
            <v>大连益智教学服务区</v>
          </cell>
        </row>
        <row r="74">
          <cell r="F74" t="str">
            <v>毕金玲</v>
          </cell>
          <cell r="G74" t="str">
            <v>刘莹莹</v>
          </cell>
          <cell r="H74" t="str">
            <v>H0029646</v>
          </cell>
        </row>
        <row r="75">
          <cell r="B75" t="str">
            <v>大连益智教学服务区</v>
          </cell>
        </row>
        <row r="75">
          <cell r="F75" t="str">
            <v>毕金玲</v>
          </cell>
          <cell r="G75" t="str">
            <v>张婷婷</v>
          </cell>
          <cell r="H75" t="str">
            <v>H0029648</v>
          </cell>
        </row>
        <row r="76">
          <cell r="B76" t="str">
            <v>港澳益智教学服务区</v>
          </cell>
        </row>
        <row r="76">
          <cell r="F76" t="str">
            <v>孙佳娣</v>
          </cell>
          <cell r="G76" t="str">
            <v>吴紫芸</v>
          </cell>
          <cell r="H76" t="str">
            <v>H0029644</v>
          </cell>
        </row>
        <row r="77">
          <cell r="B77" t="str">
            <v>港澳益智教学服务区</v>
          </cell>
        </row>
        <row r="77">
          <cell r="F77" t="str">
            <v>叶素姜</v>
          </cell>
          <cell r="G77" t="str">
            <v>赵松彬</v>
          </cell>
          <cell r="H77" t="str">
            <v>K1016</v>
          </cell>
        </row>
        <row r="78">
          <cell r="B78" t="str">
            <v>港澳益智教学服务区</v>
          </cell>
        </row>
        <row r="78">
          <cell r="F78" t="str">
            <v>叶素姜</v>
          </cell>
          <cell r="G78" t="str">
            <v>黄宗灿</v>
          </cell>
          <cell r="H78" t="str">
            <v>K5106</v>
          </cell>
        </row>
        <row r="79">
          <cell r="B79" t="str">
            <v>港澳益智教学服务区</v>
          </cell>
        </row>
        <row r="79">
          <cell r="F79" t="str">
            <v>叶素姜</v>
          </cell>
          <cell r="G79" t="str">
            <v>郑祖惠</v>
          </cell>
          <cell r="H79" t="str">
            <v>W0000380</v>
          </cell>
        </row>
        <row r="80">
          <cell r="B80" t="str">
            <v>港澳益智教学服务区</v>
          </cell>
        </row>
        <row r="80">
          <cell r="F80" t="str">
            <v>叶素姜</v>
          </cell>
          <cell r="G80" t="str">
            <v>叶素姜</v>
          </cell>
          <cell r="H80" t="str">
            <v>H0011451</v>
          </cell>
        </row>
        <row r="81">
          <cell r="B81" t="str">
            <v>港澳益智教学服务区</v>
          </cell>
        </row>
        <row r="81">
          <cell r="F81" t="str">
            <v>叶素姜</v>
          </cell>
          <cell r="G81" t="str">
            <v>阮锦霞</v>
          </cell>
          <cell r="H81" t="str">
            <v>H0028313</v>
          </cell>
        </row>
        <row r="82">
          <cell r="B82" t="str">
            <v>港澳益智教学服务区</v>
          </cell>
        </row>
        <row r="82">
          <cell r="F82" t="str">
            <v>叶素姜</v>
          </cell>
          <cell r="G82" t="str">
            <v>李颖杰</v>
          </cell>
          <cell r="H82" t="str">
            <v>H0028535</v>
          </cell>
        </row>
        <row r="83">
          <cell r="B83" t="str">
            <v>港澳益智教学服务区</v>
          </cell>
        </row>
        <row r="83">
          <cell r="F83" t="str">
            <v>叶素姜</v>
          </cell>
          <cell r="G83" t="str">
            <v>李佳</v>
          </cell>
          <cell r="H83" t="str">
            <v>H0028827</v>
          </cell>
        </row>
        <row r="84">
          <cell r="B84" t="str">
            <v>港澳益智教学服务区</v>
          </cell>
        </row>
        <row r="84">
          <cell r="F84" t="str">
            <v>叶素姜</v>
          </cell>
          <cell r="G84" t="str">
            <v>罗思情</v>
          </cell>
          <cell r="H84" t="str">
            <v>H0029009</v>
          </cell>
        </row>
        <row r="85">
          <cell r="B85" t="str">
            <v>港澳益智教学服务区</v>
          </cell>
        </row>
        <row r="85">
          <cell r="F85" t="str">
            <v>叶素姜</v>
          </cell>
          <cell r="G85" t="str">
            <v>邝仪森</v>
          </cell>
          <cell r="H85" t="str">
            <v>H0029212</v>
          </cell>
        </row>
        <row r="86">
          <cell r="B86" t="str">
            <v>港澳益智教学服务区</v>
          </cell>
        </row>
        <row r="86">
          <cell r="F86" t="str">
            <v>叶素姜</v>
          </cell>
          <cell r="G86" t="str">
            <v>陈慧妍</v>
          </cell>
          <cell r="H86" t="str">
            <v>H0029261</v>
          </cell>
        </row>
        <row r="87">
          <cell r="B87" t="str">
            <v>港澳益智教学服务区</v>
          </cell>
        </row>
        <row r="87">
          <cell r="F87" t="str">
            <v>叶素姜</v>
          </cell>
          <cell r="G87" t="str">
            <v>梁峻豪</v>
          </cell>
          <cell r="H87" t="str">
            <v>H0029303</v>
          </cell>
        </row>
        <row r="88">
          <cell r="B88" t="str">
            <v>港澳益智教学服务区</v>
          </cell>
        </row>
        <row r="88">
          <cell r="F88" t="str">
            <v>叶素姜</v>
          </cell>
          <cell r="G88" t="str">
            <v>张海琪</v>
          </cell>
          <cell r="H88" t="str">
            <v>H0029460</v>
          </cell>
        </row>
        <row r="89">
          <cell r="B89" t="str">
            <v>港澳益智教学服务区</v>
          </cell>
        </row>
        <row r="89">
          <cell r="F89" t="str">
            <v>叶素姜</v>
          </cell>
          <cell r="G89" t="str">
            <v>廖紫晴</v>
          </cell>
          <cell r="H89" t="str">
            <v>H0029511</v>
          </cell>
        </row>
        <row r="90">
          <cell r="B90" t="str">
            <v>港澳益智教学服务区</v>
          </cell>
        </row>
        <row r="90">
          <cell r="F90" t="str">
            <v>向梦清</v>
          </cell>
          <cell r="G90" t="str">
            <v>向梦清</v>
          </cell>
          <cell r="H90" t="str">
            <v>ML009520</v>
          </cell>
        </row>
        <row r="91">
          <cell r="B91" t="str">
            <v>港澳益智教学服务区</v>
          </cell>
        </row>
        <row r="91">
          <cell r="F91" t="str">
            <v>向梦清</v>
          </cell>
          <cell r="G91" t="str">
            <v>黄玉芹</v>
          </cell>
          <cell r="H91" t="str">
            <v>H0010159</v>
          </cell>
        </row>
        <row r="92">
          <cell r="B92" t="str">
            <v>港澳益智教学服务区</v>
          </cell>
        </row>
        <row r="92">
          <cell r="F92" t="str">
            <v>向梦清</v>
          </cell>
          <cell r="G92" t="str">
            <v>冼智艺</v>
          </cell>
          <cell r="H92" t="str">
            <v>H0029585</v>
          </cell>
        </row>
        <row r="93">
          <cell r="B93" t="str">
            <v>港澳益智教学服务区</v>
          </cell>
        </row>
        <row r="93">
          <cell r="F93" t="str">
            <v>向梦清</v>
          </cell>
          <cell r="G93" t="str">
            <v>吴佳俊</v>
          </cell>
          <cell r="H93" t="str">
            <v>H0028199</v>
          </cell>
        </row>
        <row r="94">
          <cell r="B94" t="str">
            <v>港澳益智教学服务区</v>
          </cell>
        </row>
        <row r="94">
          <cell r="F94" t="str">
            <v>向梦清</v>
          </cell>
          <cell r="G94" t="str">
            <v>梁健力</v>
          </cell>
          <cell r="H94" t="str">
            <v>H0028486</v>
          </cell>
        </row>
        <row r="95">
          <cell r="B95" t="str">
            <v>港澳益智教学服务区</v>
          </cell>
        </row>
        <row r="95">
          <cell r="F95" t="str">
            <v>向梦清</v>
          </cell>
          <cell r="G95" t="str">
            <v>何宛霖</v>
          </cell>
          <cell r="H95" t="str">
            <v>H0028908</v>
          </cell>
        </row>
        <row r="96">
          <cell r="B96" t="str">
            <v>港澳益智教学服务区</v>
          </cell>
        </row>
        <row r="96">
          <cell r="F96" t="str">
            <v>向梦清</v>
          </cell>
          <cell r="G96" t="str">
            <v>陈洁丽</v>
          </cell>
          <cell r="H96" t="str">
            <v>H0029008</v>
          </cell>
        </row>
        <row r="97">
          <cell r="B97" t="str">
            <v>港澳益智教学服务区</v>
          </cell>
        </row>
        <row r="97">
          <cell r="F97" t="str">
            <v>向梦清</v>
          </cell>
          <cell r="G97" t="str">
            <v>刘静然</v>
          </cell>
          <cell r="H97" t="str">
            <v>H0029262</v>
          </cell>
        </row>
        <row r="98">
          <cell r="B98" t="str">
            <v>港澳益智教学服务区</v>
          </cell>
        </row>
        <row r="98">
          <cell r="F98" t="str">
            <v>向梦清</v>
          </cell>
          <cell r="G98" t="str">
            <v>钟明蔚</v>
          </cell>
          <cell r="H98" t="str">
            <v>H0029305</v>
          </cell>
        </row>
        <row r="99">
          <cell r="B99" t="str">
            <v>港澳益智教学服务区</v>
          </cell>
        </row>
        <row r="99">
          <cell r="F99" t="str">
            <v>向梦清</v>
          </cell>
          <cell r="G99" t="str">
            <v>简海玲</v>
          </cell>
          <cell r="H99" t="str">
            <v>H0029384</v>
          </cell>
        </row>
        <row r="100">
          <cell r="B100" t="str">
            <v>港澳益智教学服务区</v>
          </cell>
        </row>
        <row r="100">
          <cell r="F100" t="str">
            <v>向梦清</v>
          </cell>
          <cell r="G100" t="str">
            <v>程智辉</v>
          </cell>
          <cell r="H100" t="str">
            <v>H0029406</v>
          </cell>
        </row>
        <row r="101">
          <cell r="B101" t="str">
            <v>港澳益智教学服务区</v>
          </cell>
        </row>
        <row r="101">
          <cell r="F101" t="str">
            <v>向梦清</v>
          </cell>
          <cell r="G101" t="str">
            <v>吴嘉雯</v>
          </cell>
          <cell r="H101" t="str">
            <v>H0029510</v>
          </cell>
        </row>
        <row r="102">
          <cell r="B102" t="str">
            <v>港澳益智教学服务区</v>
          </cell>
        </row>
        <row r="102">
          <cell r="F102" t="str">
            <v>向梦清</v>
          </cell>
          <cell r="G102" t="str">
            <v>罗庆环</v>
          </cell>
          <cell r="H102" t="str">
            <v>H0029634</v>
          </cell>
        </row>
        <row r="103">
          <cell r="B103" t="str">
            <v>益智海外教学服务区</v>
          </cell>
        </row>
        <row r="103">
          <cell r="F103" t="str">
            <v>毕金玲</v>
          </cell>
          <cell r="G103" t="str">
            <v>赵丽莹</v>
          </cell>
          <cell r="H103" t="str">
            <v>H0029602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B7" sqref="B7"/>
    </sheetView>
  </sheetViews>
  <sheetFormatPr baseColWidth="8" defaultColWidth="8.72727272727273" defaultRowHeight="14" outlineLevelRow="3"/>
  <cols>
    <col width="23.3636363636364" customWidth="1" style="37" min="1" max="1"/>
    <col width="20.3636363636364" customWidth="1" style="37" min="2" max="2"/>
    <col width="13.5454545454545" customWidth="1" style="37" min="3" max="3"/>
    <col width="59.9090909090909" customWidth="1" style="37" min="5" max="5"/>
  </cols>
  <sheetData>
    <row r="1">
      <c r="A1" s="45" t="inlineStr">
        <is>
          <t>激励方向</t>
        </is>
      </c>
      <c r="B1" s="45" t="inlineStr">
        <is>
          <t>激励对象</t>
        </is>
      </c>
      <c r="C1" s="45" t="inlineStr">
        <is>
          <t>激励名额</t>
        </is>
      </c>
      <c r="D1" s="45" t="inlineStr">
        <is>
          <t>激励门槛</t>
        </is>
      </c>
      <c r="E1" s="45" t="inlineStr">
        <is>
          <t>激励内容</t>
        </is>
      </c>
      <c r="F1" s="45" t="inlineStr">
        <is>
          <t>激励总额</t>
        </is>
      </c>
    </row>
    <row r="2" ht="124" customHeight="1" s="37">
      <c r="A2" s="46" t="inlineStr">
        <is>
          <t>整体-新生跟进</t>
        </is>
      </c>
      <c r="B2" s="46" t="inlineStr">
        <is>
          <t>李文韬：服务owner</t>
        </is>
      </c>
      <c r="C2" s="46" t="n">
        <v>1</v>
      </c>
      <c r="D2" s="46" t="inlineStr">
        <is>
          <t>无</t>
        </is>
      </c>
      <c r="E2" s="47" t="inlineStr">
        <is>
          <t>1、首通及时跟进率激励=200*（首通及时跟进率/目标90%）；
2、首课及时跟进率激励=200*（首课及时跟进率/目标80%）；
3、首专及时跟进率激励=400*（首专及时跟进率/目标75%）。</t>
        </is>
      </c>
      <c r="F2" s="46" t="n">
        <v>800</v>
      </c>
    </row>
    <row r="3" ht="34" customHeight="1" s="37">
      <c r="A3" s="46" t="inlineStr">
        <is>
          <t>整体-服务池跟进质量</t>
        </is>
      </c>
      <c r="B3" s="48" t="n"/>
      <c r="C3" s="46" t="n">
        <v>1</v>
      </c>
      <c r="D3" s="46" t="inlineStr">
        <is>
          <t>无</t>
        </is>
      </c>
      <c r="E3" s="49" t="inlineStr">
        <is>
          <t>最终激励金额=激励总额*（语义点执行率加和得分/目标2.0）</t>
        </is>
      </c>
      <c r="F3" s="46" t="n">
        <v>600</v>
      </c>
    </row>
    <row r="4" ht="51" customHeight="1" s="37">
      <c r="A4" s="46" t="inlineStr">
        <is>
          <t>整体-停课唤醒</t>
        </is>
      </c>
      <c r="B4" s="50" t="n"/>
      <c r="C4" s="46" t="n">
        <v>1</v>
      </c>
      <c r="D4" s="46" t="inlineStr">
        <is>
          <t>无</t>
        </is>
      </c>
      <c r="E4" s="51" t="inlineStr">
        <is>
          <t>最终激励金额=激励总额*（停课唤醒目标学员外呼跟进率/目标70%）</t>
        </is>
      </c>
      <c r="F4" s="46" t="n">
        <v>600</v>
      </c>
    </row>
  </sheetData>
  <mergeCells count="1">
    <mergeCell ref="B2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topLeftCell="B1" workbookViewId="0">
      <selection activeCell="F12" sqref="F12"/>
    </sheetView>
  </sheetViews>
  <sheetFormatPr baseColWidth="8" defaultColWidth="8.72727272727273" defaultRowHeight="14" outlineLevelRow="2"/>
  <cols>
    <col width="10" customWidth="1" style="37" min="1" max="1"/>
    <col width="11.6363636363636" customWidth="1" style="37" min="2" max="2"/>
    <col width="19.3636363636364" customWidth="1" style="37" min="4" max="4"/>
    <col width="15.8181818181818" customWidth="1" style="37" min="5" max="5"/>
    <col width="14" customWidth="1" style="37" min="6" max="6"/>
    <col width="20" customWidth="1" style="37" min="7" max="7"/>
    <col width="17.7272727272727" customWidth="1" style="37" min="8" max="8"/>
    <col width="24.5454545454545" customWidth="1" style="37" min="9" max="9"/>
    <col width="21.8181818181818" customWidth="1" style="37" min="10" max="10"/>
  </cols>
  <sheetData>
    <row r="1" ht="16.5" customHeight="1" s="37">
      <c r="A1" s="38" t="inlineStr">
        <is>
          <t>激励</t>
        </is>
      </c>
      <c r="B1" s="39" t="n"/>
      <c r="C1" s="39" t="n"/>
      <c r="D1" s="39" t="n"/>
      <c r="E1" s="39" t="n"/>
      <c r="F1" s="39" t="n"/>
      <c r="G1" s="40" t="n"/>
      <c r="H1" s="41" t="inlineStr">
        <is>
          <t>实际激励金额</t>
        </is>
      </c>
      <c r="I1" s="39" t="n"/>
      <c r="J1" s="40" t="n"/>
    </row>
    <row r="2" ht="16.5" customHeight="1" s="37">
      <c r="A2" s="38" t="inlineStr">
        <is>
          <t>团队</t>
        </is>
      </c>
      <c r="B2" s="38" t="inlineStr">
        <is>
          <t>激励团队</t>
        </is>
      </c>
      <c r="C2" s="38" t="inlineStr">
        <is>
          <t>小组</t>
        </is>
      </c>
      <c r="D2" s="38" t="inlineStr">
        <is>
          <t>激励人群</t>
        </is>
      </c>
      <c r="E2" s="38" t="inlineStr">
        <is>
          <t>TL</t>
        </is>
      </c>
      <c r="F2" s="38" t="inlineStr">
        <is>
          <t>工号</t>
        </is>
      </c>
      <c r="G2" s="38" t="inlineStr">
        <is>
          <t>续费激励总金额</t>
        </is>
      </c>
      <c r="H2" s="42" t="inlineStr">
        <is>
          <t>整体-新生跟进</t>
        </is>
      </c>
      <c r="I2" s="42" t="inlineStr">
        <is>
          <t>整体-服务池跟进质量</t>
        </is>
      </c>
      <c r="J2" s="42" t="inlineStr">
        <is>
          <t>整体-新生跟进</t>
        </is>
      </c>
    </row>
    <row r="3" ht="49.5" customFormat="1" customHeight="1" s="4">
      <c r="A3" s="5">
        <f>_xlfn.XLOOKUP(E3,[1]Sheet4!F:F,[1]Sheet4!B:B,0)</f>
        <v/>
      </c>
      <c r="B3" s="5" t="inlineStr">
        <is>
          <t>港澳台团队</t>
        </is>
      </c>
      <c r="C3" s="5" t="inlineStr">
        <is>
          <t>台湾组</t>
        </is>
      </c>
      <c r="D3" s="5" t="inlineStr">
        <is>
          <t>服务owner</t>
        </is>
      </c>
      <c r="E3" s="5" t="inlineStr">
        <is>
          <t>李文韬</t>
        </is>
      </c>
      <c r="F3" s="5">
        <f>_xlfn.XLOOKUP(E3,[1]Sheet4!G:G,[1]Sheet4!H:H,0)</f>
        <v/>
      </c>
      <c r="G3" s="52">
        <f>ROUND(SUM(H3,I3,J3),2)</f>
        <v/>
      </c>
      <c r="H3" s="53">
        <f>激励项!J4+激励项!J6+激励项!J8</f>
        <v/>
      </c>
      <c r="I3" s="53">
        <f>激励项!J16</f>
        <v/>
      </c>
      <c r="J3" s="53">
        <f>激励项!J24</f>
        <v/>
      </c>
    </row>
  </sheetData>
  <mergeCells count="2">
    <mergeCell ref="H1:J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zoomScale="70" zoomScaleNormal="70"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P20" sqref="P20"/>
    </sheetView>
  </sheetViews>
  <sheetFormatPr baseColWidth="8" defaultColWidth="8.72727272727273" defaultRowHeight="14"/>
  <cols>
    <col width="14.8181818181818" customWidth="1" style="4" min="1" max="1"/>
    <col width="16.5454545454545" customWidth="1" style="4" min="2" max="2"/>
    <col width="14" customWidth="1" style="4" min="3" max="3"/>
    <col width="13.2727272727273" customWidth="1" style="4" min="4" max="4"/>
    <col width="12.6363636363636" customWidth="1" style="4" min="5" max="5"/>
    <col width="26.0909090909091" customWidth="1" style="4" min="6" max="6"/>
    <col width="8.72727272727273" customWidth="1" style="4" min="7" max="7"/>
    <col width="43.3090909090909" customWidth="1" style="4" min="8" max="8"/>
    <col width="8.72727272727273" customWidth="1" style="4" min="9" max="9"/>
    <col width="19.7363636363636" customWidth="1" style="4" min="10" max="10"/>
    <col width="8.72727272727273" customWidth="1" style="4" min="11" max="16384"/>
  </cols>
  <sheetData>
    <row r="1" ht="16.5" customFormat="1" customHeight="1" s="1">
      <c r="A1" s="5" t="n"/>
      <c r="B1" s="5" t="n"/>
      <c r="C1" s="5" t="n"/>
      <c r="D1" s="5" t="n"/>
      <c r="E1" s="5" t="n"/>
      <c r="F1" s="6" t="n"/>
    </row>
    <row r="2" customFormat="1" s="2">
      <c r="A2" s="7" t="inlineStr">
        <is>
          <t>激励方向</t>
        </is>
      </c>
      <c r="B2" s="8" t="inlineStr">
        <is>
          <t>激励人群</t>
        </is>
      </c>
      <c r="C2" s="8" t="inlineStr">
        <is>
          <t>小组</t>
        </is>
      </c>
      <c r="D2" s="8" t="inlineStr">
        <is>
          <t>TL</t>
        </is>
      </c>
      <c r="E2" s="9" t="inlineStr">
        <is>
          <t>工号</t>
        </is>
      </c>
      <c r="F2" s="10" t="inlineStr">
        <is>
          <t>激励完成情况</t>
        </is>
      </c>
      <c r="G2" s="11" t="inlineStr">
        <is>
          <t>激励门槛</t>
        </is>
      </c>
      <c r="H2" s="11" t="inlineStr">
        <is>
          <t>激励内容</t>
        </is>
      </c>
      <c r="I2" s="11" t="inlineStr">
        <is>
          <t>激励总额</t>
        </is>
      </c>
      <c r="J2" s="12" t="inlineStr">
        <is>
          <t>实际激励金额</t>
        </is>
      </c>
    </row>
    <row r="3" customFormat="1" s="2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</row>
    <row r="4" ht="16.5" customFormat="1" customHeight="1" s="1">
      <c r="A4" s="14" t="inlineStr">
        <is>
          <t>整体-新生跟进</t>
        </is>
      </c>
      <c r="B4" s="5" t="inlineStr">
        <is>
          <t>服务owner</t>
        </is>
      </c>
      <c r="C4" s="14" t="inlineStr">
        <is>
          <t>台湾组</t>
        </is>
      </c>
      <c r="D4" s="5" t="inlineStr">
        <is>
          <t>李文韬</t>
        </is>
      </c>
      <c r="E4" s="5">
        <f>_xlfn.XLOOKUP(D4,[1]Sheet4!G:G,[1]Sheet4!H:H,0)</f>
        <v/>
      </c>
      <c r="F4" s="15" t="inlineStr">
        <is>
          <t>首通及时跟进率</t>
        </is>
      </c>
      <c r="G4" s="16" t="inlineStr">
        <is>
          <t>无</t>
        </is>
      </c>
      <c r="H4" s="16" t="inlineStr">
        <is>
          <t>1、首通及时跟进率激励=200*（首通及时跟进率/目标90%）</t>
        </is>
      </c>
      <c r="I4" s="16" t="n">
        <v>200</v>
      </c>
      <c r="J4" s="54" t="n">
        <v>200</v>
      </c>
    </row>
    <row r="5" ht="39" customFormat="1" customHeight="1" s="1">
      <c r="A5" s="18" t="n"/>
      <c r="B5" s="18" t="n"/>
      <c r="C5" s="18" t="n"/>
      <c r="D5" s="18" t="n"/>
      <c r="E5" s="18" t="n"/>
      <c r="F5" s="19" t="n">
        <v>0.9108040201005025</v>
      </c>
      <c r="G5" s="13" t="n"/>
      <c r="H5" s="13" t="n"/>
      <c r="I5" s="13" t="n"/>
      <c r="J5" s="13" t="n"/>
    </row>
    <row r="6" ht="35" customFormat="1" customHeight="1" s="1">
      <c r="A6" s="18" t="n"/>
      <c r="B6" s="18" t="n"/>
      <c r="C6" s="18" t="n"/>
      <c r="D6" s="18" t="n"/>
      <c r="E6" s="18" t="n"/>
      <c r="F6" s="15" t="inlineStr">
        <is>
          <t>首课及时跟进率</t>
        </is>
      </c>
      <c r="G6" s="16" t="inlineStr">
        <is>
          <t>无</t>
        </is>
      </c>
      <c r="H6" s="5" t="inlineStr">
        <is>
          <t>2、首课及时跟进率激励=200*（首课及时跟进率/目标80%）；</t>
        </is>
      </c>
      <c r="I6" s="16" t="n">
        <v>200</v>
      </c>
      <c r="J6" s="54" t="n">
        <v>200</v>
      </c>
    </row>
    <row r="7" ht="80" customHeight="1" s="37">
      <c r="A7" s="18" t="n"/>
      <c r="B7" s="18" t="n"/>
      <c r="C7" s="18" t="n"/>
      <c r="D7" s="18" t="n"/>
      <c r="E7" s="18" t="n"/>
      <c r="F7" s="20" t="n">
        <v>0.9736842105263158</v>
      </c>
      <c r="G7" s="13" t="n"/>
      <c r="H7" s="13" t="n"/>
      <c r="I7" s="13" t="n"/>
      <c r="J7" s="13" t="n"/>
    </row>
    <row r="8" ht="16.5" customHeight="1" s="37">
      <c r="A8" s="18" t="n"/>
      <c r="B8" s="18" t="n"/>
      <c r="C8" s="18" t="n"/>
      <c r="D8" s="18" t="n"/>
      <c r="E8" s="18" t="n"/>
      <c r="F8" s="15" t="inlineStr">
        <is>
          <t>首专及时跟进率</t>
        </is>
      </c>
      <c r="G8" s="16" t="inlineStr">
        <is>
          <t>无</t>
        </is>
      </c>
      <c r="H8" s="5" t="inlineStr">
        <is>
          <t>3、首专及时跟进率激励=400*（首专及时跟进率/目标75%）。</t>
        </is>
      </c>
      <c r="I8" s="21" t="n">
        <v>400</v>
      </c>
      <c r="J8" s="54" t="n">
        <v>400</v>
      </c>
    </row>
    <row r="9" ht="73" customHeight="1" s="37">
      <c r="A9" s="13" t="n"/>
      <c r="B9" s="13" t="n"/>
      <c r="C9" s="13" t="n"/>
      <c r="D9" s="13" t="n"/>
      <c r="E9" s="13" t="n"/>
      <c r="F9" s="20" t="n">
        <v>0.91</v>
      </c>
      <c r="G9" s="13" t="n"/>
      <c r="H9" s="13" t="n"/>
      <c r="I9" s="13" t="n"/>
      <c r="J9" s="13" t="n"/>
    </row>
    <row r="10"/>
    <row r="11"/>
    <row r="12"/>
    <row r="13" ht="16.5" customHeight="1" s="37">
      <c r="A13" s="22" t="n"/>
      <c r="B13" s="22" t="n"/>
      <c r="C13" s="22" t="n"/>
      <c r="D13" s="22" t="n"/>
      <c r="E13" s="22" t="n"/>
    </row>
    <row r="14" customFormat="1" s="3">
      <c r="A14" s="7" t="inlineStr">
        <is>
          <t>激励方向</t>
        </is>
      </c>
      <c r="B14" s="8" t="inlineStr">
        <is>
          <t>激励人群</t>
        </is>
      </c>
      <c r="C14" s="8" t="inlineStr">
        <is>
          <t>小组</t>
        </is>
      </c>
      <c r="D14" s="8" t="inlineStr">
        <is>
          <t>TL</t>
        </is>
      </c>
      <c r="E14" s="9" t="inlineStr">
        <is>
          <t>工号</t>
        </is>
      </c>
      <c r="F14" s="10" t="inlineStr">
        <is>
          <t>激励完成情况</t>
        </is>
      </c>
      <c r="G14" s="11" t="inlineStr">
        <is>
          <t>激励门槛</t>
        </is>
      </c>
      <c r="H14" s="11" t="inlineStr">
        <is>
          <t>激励内容</t>
        </is>
      </c>
      <c r="I14" s="11" t="inlineStr">
        <is>
          <t>激励总额</t>
        </is>
      </c>
      <c r="J14" s="12" t="inlineStr">
        <is>
          <t>实际激励金额</t>
        </is>
      </c>
    </row>
    <row r="15" ht="49" customFormat="1" customHeight="1" s="3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32" customHeight="1" s="37">
      <c r="A16" s="14" t="inlineStr">
        <is>
          <t>整体-服务池跟进质量</t>
        </is>
      </c>
      <c r="B16" s="5" t="inlineStr">
        <is>
          <t>服务owner</t>
        </is>
      </c>
      <c r="C16" s="14" t="inlineStr">
        <is>
          <t>台湾组</t>
        </is>
      </c>
      <c r="D16" s="5" t="inlineStr">
        <is>
          <t>李文韬</t>
        </is>
      </c>
      <c r="E16" s="5">
        <f>_xlfn.XLOOKUP(D16,[1]Sheet4!G:G,[1]Sheet4!H:H,0)</f>
        <v/>
      </c>
      <c r="F16" s="15" t="inlineStr">
        <is>
          <t>语义点执行率加和得分</t>
        </is>
      </c>
      <c r="G16" s="16" t="inlineStr">
        <is>
          <t>无</t>
        </is>
      </c>
      <c r="H16" s="23" t="inlineStr">
        <is>
          <t>最终激励金额=激励总额*（语义点执行率加和得分/目标2.0）</t>
        </is>
      </c>
      <c r="I16" s="16" t="n">
        <v>600</v>
      </c>
      <c r="J16" s="54" t="n">
        <v>541.1799999999999</v>
      </c>
      <c r="K16" s="24" t="n"/>
    </row>
    <row r="17" ht="16.5" customHeight="1" s="37">
      <c r="A17" s="13" t="n"/>
      <c r="B17" s="13" t="n"/>
      <c r="C17" s="13" t="n"/>
      <c r="D17" s="13" t="n"/>
      <c r="E17" s="13" t="n"/>
      <c r="F17" s="55" t="n">
        <v>1.803921568627451</v>
      </c>
      <c r="G17" s="13" t="n"/>
      <c r="H17" s="13" t="n"/>
      <c r="I17" s="13" t="n"/>
      <c r="J17" s="13" t="n"/>
    </row>
    <row r="18"/>
    <row r="19"/>
    <row r="20"/>
    <row r="21">
      <c r="A21" s="1" t="n"/>
      <c r="B21" s="1" t="n"/>
      <c r="C21" s="1" t="n"/>
      <c r="D21" s="1" t="n"/>
      <c r="E21" s="1" t="n"/>
    </row>
    <row r="22" customFormat="1" s="3">
      <c r="A22" s="7" t="inlineStr">
        <is>
          <t>激励方向</t>
        </is>
      </c>
      <c r="B22" s="8" t="inlineStr">
        <is>
          <t>激励人群</t>
        </is>
      </c>
      <c r="C22" s="8" t="inlineStr">
        <is>
          <t>小组</t>
        </is>
      </c>
      <c r="D22" s="8" t="inlineStr">
        <is>
          <t>TL</t>
        </is>
      </c>
      <c r="E22" s="26" t="inlineStr">
        <is>
          <t>工号</t>
        </is>
      </c>
      <c r="F22" s="10" t="inlineStr">
        <is>
          <t>激励完成情况</t>
        </is>
      </c>
      <c r="G22" s="11" t="inlineStr">
        <is>
          <t>激励门槛</t>
        </is>
      </c>
      <c r="H22" s="11" t="inlineStr">
        <is>
          <t>激励内容</t>
        </is>
      </c>
      <c r="I22" s="11" t="inlineStr">
        <is>
          <t>激励总额</t>
        </is>
      </c>
      <c r="J22" s="12" t="inlineStr">
        <is>
          <t>实际激励金额</t>
        </is>
      </c>
    </row>
    <row r="23" customFormat="1" s="3">
      <c r="A23" s="13" t="n"/>
      <c r="B23" s="13" t="n"/>
      <c r="C23" s="13" t="n"/>
      <c r="D23" s="13" t="n"/>
      <c r="E23" s="27" t="n"/>
      <c r="F23" s="13" t="n"/>
      <c r="G23" s="13" t="n"/>
      <c r="H23" s="13" t="n"/>
      <c r="I23" s="13" t="n"/>
      <c r="J23" s="13" t="n"/>
    </row>
    <row r="24" ht="33" customHeight="1" s="37">
      <c r="A24" s="14" t="inlineStr">
        <is>
          <t>整体-新生跟进</t>
        </is>
      </c>
      <c r="B24" s="5" t="inlineStr">
        <is>
          <t>服务owner</t>
        </is>
      </c>
      <c r="C24" s="14" t="inlineStr">
        <is>
          <t>台湾组</t>
        </is>
      </c>
      <c r="D24" s="5" t="inlineStr">
        <is>
          <t>李文韬</t>
        </is>
      </c>
      <c r="E24" s="28">
        <f>_xlfn.XLOOKUP(D24,[1]Sheet4!G:G,[1]Sheet4!H:H,0)</f>
        <v/>
      </c>
      <c r="F24" s="29" t="inlineStr">
        <is>
          <t>停课唤醒目标学员外呼跟进率</t>
        </is>
      </c>
      <c r="G24" s="30" t="inlineStr">
        <is>
          <t>无</t>
        </is>
      </c>
      <c r="H24" s="31" t="inlineStr">
        <is>
          <t>最终激励金额=激励总额*（停课唤醒目标学员外呼跟进率/目标70%）</t>
        </is>
      </c>
      <c r="I24" s="32" t="n">
        <v>600</v>
      </c>
      <c r="J24" s="56" t="n">
        <v>600</v>
      </c>
    </row>
    <row r="25" ht="61" customHeight="1" s="37">
      <c r="A25" s="13" t="n"/>
      <c r="B25" s="13" t="n"/>
      <c r="C25" s="13" t="n"/>
      <c r="D25" s="13" t="n"/>
      <c r="E25" s="27" t="n"/>
      <c r="F25" s="34" t="n">
        <v>0.83203125</v>
      </c>
      <c r="G25" s="13" t="n"/>
      <c r="H25" s="35" t="n"/>
      <c r="I25" s="36" t="n"/>
      <c r="J25" s="13" t="n"/>
    </row>
    <row r="26"/>
    <row r="27"/>
    <row r="28"/>
    <row r="29">
      <c r="A29" s="3" t="n"/>
    </row>
  </sheetData>
  <mergeCells count="65">
    <mergeCell ref="B4:B9"/>
    <mergeCell ref="A24:A25"/>
    <mergeCell ref="G8:G9"/>
    <mergeCell ref="D22:D23"/>
    <mergeCell ref="H6:H7"/>
    <mergeCell ref="I16:I17"/>
    <mergeCell ref="J6:J7"/>
    <mergeCell ref="A16:A17"/>
    <mergeCell ref="B2:B3"/>
    <mergeCell ref="D2:D3"/>
    <mergeCell ref="C16:C17"/>
    <mergeCell ref="F2:F3"/>
    <mergeCell ref="H2:H3"/>
    <mergeCell ref="B14:B15"/>
    <mergeCell ref="C22:C23"/>
    <mergeCell ref="I22:I23"/>
    <mergeCell ref="C4:C9"/>
    <mergeCell ref="E4:E9"/>
    <mergeCell ref="F22:F23"/>
    <mergeCell ref="J4:J5"/>
    <mergeCell ref="J24:J25"/>
    <mergeCell ref="H22:H23"/>
    <mergeCell ref="G6:G7"/>
    <mergeCell ref="D16:D17"/>
    <mergeCell ref="A2:A3"/>
    <mergeCell ref="C2:C3"/>
    <mergeCell ref="G24:G25"/>
    <mergeCell ref="B24:B25"/>
    <mergeCell ref="E2:E3"/>
    <mergeCell ref="A14:A15"/>
    <mergeCell ref="D24:D25"/>
    <mergeCell ref="G14:G15"/>
    <mergeCell ref="I24:I25"/>
    <mergeCell ref="I14:I15"/>
    <mergeCell ref="J16:J17"/>
    <mergeCell ref="A22:A23"/>
    <mergeCell ref="D4:D9"/>
    <mergeCell ref="I8:I9"/>
    <mergeCell ref="H16:H17"/>
    <mergeCell ref="G4:G5"/>
    <mergeCell ref="I4:I5"/>
    <mergeCell ref="J22:J23"/>
    <mergeCell ref="E16:E17"/>
    <mergeCell ref="G16:G17"/>
    <mergeCell ref="D14:D15"/>
    <mergeCell ref="H24:H25"/>
    <mergeCell ref="J2:J3"/>
    <mergeCell ref="F14:F15"/>
    <mergeCell ref="G22:G23"/>
    <mergeCell ref="H14:H15"/>
    <mergeCell ref="J14:J15"/>
    <mergeCell ref="A4:A9"/>
    <mergeCell ref="H8:H9"/>
    <mergeCell ref="B22:B23"/>
    <mergeCell ref="J8:J9"/>
    <mergeCell ref="H4:H5"/>
    <mergeCell ref="E22:E23"/>
    <mergeCell ref="I6:I7"/>
    <mergeCell ref="B16:B17"/>
    <mergeCell ref="C24:C25"/>
    <mergeCell ref="E24:E25"/>
    <mergeCell ref="C14:C15"/>
    <mergeCell ref="I2:I3"/>
    <mergeCell ref="G2:G3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fengjianyi</dc:creator>
  <dcterms:created xmlns:dcterms="http://purl.org/dc/terms/" xmlns:xsi="http://www.w3.org/2001/XMLSchema-instance" xsi:type="dcterms:W3CDTF">2026-02-25T08:39:00Z</dcterms:created>
  <dcterms:modified xmlns:dcterms="http://purl.org/dc/terms/" xmlns:xsi="http://www.w3.org/2001/XMLSchema-instance" xsi:type="dcterms:W3CDTF">2026-05-27T07:15:56Z</dcterms:modified>
  <cp:lastModifiedBy>shamer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CD40394819784EF2834395EFC7A07A5F_11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