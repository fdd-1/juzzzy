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新建报表" sheetId="1" r:id="rId2"/>
  </sheets>
  <definedNames>
    <definedName name="_001f7d704b7e43d690dc36cfd41fac4e" hidden="1" comment="SSRRANGE">新建报表!$BI$14</definedName>
    <definedName name="_0188fa5e303245ff9205278952446226" hidden="1" comment="SSRRANGE">新建报表!$Y$3</definedName>
    <definedName name="_04d237eef9a84ffa9fe33e64fc4a48fe" hidden="1" comment="SSRRANGE">新建报表!$AG$3</definedName>
    <definedName name="_06ffa9f0eada473aa0a7e8575c7bd5f6" hidden="1" comment="SSRRANGE">新建报表!$P$14</definedName>
    <definedName name="_08e5658671764e729e492a672dc73aab" hidden="1" comment="SSRRANGE">新建报表!$AQ$14</definedName>
    <definedName name="_145761db720e4b25aa6ca6a857020b73" hidden="1" comment="SSRRANGE">新建报表!$H$3</definedName>
    <definedName name="_162eb2d5f8e34cf7af89bb94679ec367" hidden="1" comment="SSRRANGE">新建报表!$D$14</definedName>
    <definedName name="_16563b2da89f42e6bab76f4b2fef7721" hidden="1" comment="SSRRANGE">新建报表!$S$14</definedName>
    <definedName name="_1c1206e42b424d7a980666b73a239239" hidden="1" comment="SSRRANGE">新建报表!$I$3</definedName>
    <definedName name="_231a9ef015fd49a293c5305cef540939" hidden="1" comment="SSRRANGE">新建报表!$AT$14</definedName>
    <definedName name="_249347b0d9f74f3196de74ef00444589" hidden="1" comment="SSRRANGE">新建报表!$BG$14</definedName>
    <definedName name="_25e90773164a4c58b23d585de18e9258" hidden="1" comment="SSRRANGE">新建报表!$Q$3</definedName>
    <definedName name="_379bedec580640a9b4eb48b5e3b26470" hidden="1" comment="SSRRANGE">新建报表!$AE$3</definedName>
    <definedName name="_390a4e4f1cbe4023bc4c54ef4452c2b0" hidden="1" comment="SSRRANGE">新建报表!$AY$14</definedName>
    <definedName name="_3b250bed8a0e4e639a5e731eecc063b6" hidden="1" comment="SSRRANGE">新建报表!$U$14</definedName>
    <definedName name="_40d3e0818a344c51ad549959ee03ba24" hidden="1" comment="SSRRANGE">新建报表!$AL$3</definedName>
    <definedName name="_4496aa2d7fd24345a409adbe509cc79b" hidden="1" comment="SSRRANGE">新建报表!$X$14</definedName>
    <definedName name="_498943475bf94823a7ffab14438fa252" hidden="1" comment="SSRRANGE">新建报表!$BF$14</definedName>
    <definedName name="_4a4dbae83f9c4871be7c554941892d2d" hidden="1" comment="SSRRANGE">新建报表!$BD$14</definedName>
    <definedName name="_4db83d6136f04ac6ac003dd48cce56ff" hidden="1" comment="SSRRANGE">新建报表!$AW$14</definedName>
    <definedName name="_4e16ade88b6d47fc8e868b5fbecddd35" hidden="1" comment="SSRRANGE">新建报表!#REF!</definedName>
    <definedName name="_4f85629d1e754d81921950926071c997" hidden="1" comment="SSRRANGE">新建报表!$BC$14</definedName>
    <definedName name="_51bf0f1c309a41998142a555ed922c74" hidden="1" comment="SSRRANGE">新建报表!$Z$14</definedName>
    <definedName name="_5992c22820484638af45929d6c06d8b6" hidden="1" comment="SSRRANGE">新建报表!#REF!</definedName>
    <definedName name="_5d7ddab7503f41459ad70ab7945c53e5" hidden="1" comment="SSRRANGE">新建报表!$J$14</definedName>
    <definedName name="_5f7ed525bbac4cdc81418916a4fb5c48" hidden="1" comment="SSRRANGE">新建报表!$N$3</definedName>
    <definedName name="_603384500ce34d12aaee1048fe6b4cbb" hidden="1" comment="SSRRANGE">新建报表!$AN$3</definedName>
    <definedName name="_6a49db81354b49b2b158fb37f1dffe7c" hidden="1" comment="SSRRANGE">新建报表!$AV$14</definedName>
    <definedName name="_6afe276620714506a704dfb5d99004bc" hidden="1" comment="SSRRANGE">新建报表!$BH$14</definedName>
    <definedName name="_79dea740621a45e0b3938adf8c3915f6" hidden="1" comment="SSRRANGE">新建报表!$V$14</definedName>
    <definedName name="_7c90638d63a8405d97718c2adb62acb4" hidden="1" comment="SSRRANGE">新建报表!$M$14</definedName>
    <definedName name="_7de3dfd593af452b98c7adb9a4a88f9a" hidden="1" comment="SSRRANGE">新建报表!$F$14</definedName>
    <definedName name="_7e3dec3797f54deb8c18873a37b513dc" hidden="1" comment="SSRRANGE">新建报表!$AM$3</definedName>
    <definedName name="_889408b39b7d476d87a60c94fa8459ab" hidden="1" comment="SSRRANGE">新建报表!$BB$14</definedName>
    <definedName name="_88f51641bf274e45b368420c80f9bb36" hidden="1" comment="SSRRANGE">新建报表!$AU$14</definedName>
    <definedName name="_8b7a3b675ef4418893edd55df69c0a6f" hidden="1" comment="SSRRANGE">新建报表!$R$3</definedName>
    <definedName name="_9030464f63924648b37dbc3d657f9d9b" hidden="1" comment="SSRRANGE">新建报表!$AP$14</definedName>
    <definedName name="_94f23a121a01407d84decc0618d8d443" hidden="1" comment="SSRRANGE">新建报表!$AS$14</definedName>
    <definedName name="_9ca96b048a464c0dbf300441f269c985" hidden="1" comment="SSRRANGE">新建报表!$W$3</definedName>
    <definedName name="_9de50a021e654fcebfa62fa3cc718d7d" hidden="1" comment="SSRRANGE">新建报表!$AX$14</definedName>
    <definedName name="_9f09ea9b8fe94bdc8e10ad61c2e546b3" hidden="1" comment="SSRRANGE">新建报表!#REF!</definedName>
    <definedName name="_b1b576884ee245499cfc553224ab6e56" hidden="1" comment="SSRRANGE">新建报表!$AF$14</definedName>
    <definedName name="_b24d4c2c989c4c94ac80ae8eaaee0ad2" hidden="1" comment="SSRRANGE">新建报表!$AB$14</definedName>
    <definedName name="_b48105e9414541d0af9da3b98782a9d4" hidden="1" comment="SSRRANGE">新建报表!$AR$14</definedName>
    <definedName name="_bc449fbd3e864a4198cbdbadb413d44e" hidden="1" comment="SSRRANGE">新建报表!$C$3</definedName>
    <definedName name="_cc5dfbb541b04ef1a0ec7c07e16305ae" hidden="1" comment="SSRRANGE">新建报表!$K$14</definedName>
    <definedName name="_d617e96ed1da4f528da1fc4da1f379ee" hidden="1" comment="SSRRANGE">新建报表!$AZ$14</definedName>
    <definedName name="_dbf8d779509941bf8e860131c0baf2ff" hidden="1" comment="SSRRANGE">新建报表!$AO$3</definedName>
    <definedName name="_dfef89fe2b08424aa1a0e636dc1fd690" hidden="1" comment="SSRRANGE">新建报表!$O$14</definedName>
    <definedName name="_e855d68a502e4fd3be2562d29b541fe9" hidden="1" comment="SSRRANGE">新建报表!$E$3</definedName>
    <definedName name="_e881e9c433cf41a485b427851665a57b" hidden="1" comment="SSRRANGE">新建报表!$AI$14</definedName>
    <definedName name="_f376f548688548cdba1f28cebf110769" hidden="1" comment="SSRRANGE">新建报表!$BE$14</definedName>
    <definedName name="_f3f1cabe39434feba92ed59a937db8a8" hidden="1" comment="SSRRANGE">新建报表!$AH$3</definedName>
    <definedName name="_f4b66f14d25d4b098878901a0c0cfb2d" hidden="1" comment="SSRRANGE">新建报表!$AK$14</definedName>
    <definedName name="_f6379534d7b947e8a86622a71370a572" hidden="1" comment="SSRRANGE">新建报表!$L$3</definedName>
    <definedName name="_f6b531a771d0410092d4c39d6bd019de" hidden="1" comment="SSRRANGE">新建报表!$G$14</definedName>
    <definedName name="_f747a5e4116248be9358d1431baba666" hidden="1" comment="SSRRANGE">新建报表!$AA$3</definedName>
    <definedName name="_fa01159b08794c8da00c6c9da103eaee" hidden="1" comment="SSRRANGE">新建报表!$BA$14</definedName>
    <definedName name="_fa14228354f443aa9fc42b81d18d0c0a" hidden="1" comment="SSRRANGE">新建报表!$AC$14</definedName>
    <definedName name="_ff8c2d5dbf2d4729b222584e8b164859" hidden="1" comment="SSRRANGE">新建报表!$B$3</definedName>
  </definedNames>
  <calcPr calcId="191029"/>
</workbook>
</file>

<file path=xl/calcChain.xml><?xml version="1.0" encoding="utf-8"?>
<calcChain xmlns="http://schemas.openxmlformats.org/spreadsheetml/2006/main">
  <c r="AJ99" i="1" l="1"/>
</calcChain>
</file>

<file path=xl/sharedStrings.xml><?xml version="1.0" encoding="utf-8"?>
<sst xmlns="http://schemas.openxmlformats.org/spreadsheetml/2006/main" count="212" uniqueCount="194">
  <si>
    <t>团队</t>
  </si>
  <si>
    <t>LP名称</t>
  </si>
  <si>
    <t>预习数</t>
  </si>
  <si>
    <t>一次完课数</t>
  </si>
  <si>
    <t>补课完课数</t>
  </si>
  <si>
    <t>作业提交数</t>
  </si>
  <si>
    <t>一次完课率</t>
  </si>
  <si>
    <t>作业提交率</t>
  </si>
  <si>
    <t>首课学员数</t>
  </si>
  <si>
    <t>首课跟进率</t>
  </si>
  <si>
    <t>首课及时跟进率</t>
  </si>
  <si>
    <t>首专学员数</t>
  </si>
  <si>
    <t>首专跟进率</t>
  </si>
  <si>
    <t>首专及时跟进率</t>
  </si>
  <si>
    <t>首月学员数</t>
  </si>
  <si>
    <t>首月跟进率</t>
  </si>
  <si>
    <t>首月及时跟进率</t>
  </si>
  <si>
    <t>高庆兰</t>
  </si>
  <si>
    <t>李欣旭</t>
  </si>
  <si>
    <t>口径说明：</t>
  </si>
  <si>
    <t>1）排课数：包含普通课和补课，课程状态不等于“取消”</t>
  </si>
  <si>
    <t>5）首课：本月上第1节课的学员</t>
  </si>
  <si>
    <t>8）跟进率：有外呼跟进</t>
  </si>
  <si>
    <t>月度回访学员数</t>
  </si>
  <si>
    <t>月度回访跟进率</t>
  </si>
  <si>
    <t>4）作业提交率= 作业提交数/总完课数</t>
  </si>
  <si>
    <t>7）首月：本月上第8节课的学员</t>
  </si>
  <si>
    <t>10）月度回访学员：次月早鸟升舱和其他节点未续学员</t>
  </si>
  <si>
    <t>课程预习率</t>
  </si>
  <si>
    <t>11）月度回访跟进：微信私聊发送月度报告</t>
  </si>
  <si>
    <t>首课作业完成率</t>
  </si>
  <si>
    <t>首专作业完成率</t>
  </si>
  <si>
    <t>首月作业完成率</t>
  </si>
  <si>
    <t>总完课数</t>
  </si>
  <si>
    <t>旷课数</t>
  </si>
  <si>
    <t>请假数</t>
  </si>
  <si>
    <t>总完课率</t>
  </si>
  <si>
    <t>请假率</t>
  </si>
  <si>
    <t>3）总完课数：课程状态为签到，旷课</t>
  </si>
  <si>
    <t>本月排课-待上课数</t>
  </si>
  <si>
    <t>2）一次完课数：课程类型为“普通课”且课程状态为“签到”</t>
  </si>
  <si>
    <t>首课follow率</t>
  </si>
  <si>
    <t>陈旺梅</t>
  </si>
  <si>
    <t>12）首课follow率：follow内容为【首课】学员数/首课学员数</t>
  </si>
  <si>
    <t>正式课-排课学员数</t>
  </si>
  <si>
    <t>正式课-排课课节数</t>
  </si>
  <si>
    <t>正式课-到课消课课节数</t>
  </si>
  <si>
    <t>正式课-完课消课课节数</t>
  </si>
  <si>
    <t>正式课-消耗课时数</t>
  </si>
  <si>
    <t>正式课-请假课节数</t>
  </si>
  <si>
    <t>正式课-到课完课率</t>
  </si>
  <si>
    <t>补课-AI补课学员数</t>
  </si>
  <si>
    <t>补课-AI补课课节数</t>
  </si>
  <si>
    <t>补课-直播补课学员数</t>
  </si>
  <si>
    <t>补课-直播补课课节数</t>
  </si>
  <si>
    <t>补课-直播补课消耗课时数</t>
  </si>
  <si>
    <t>补课-直播补课签到消耗课时数</t>
  </si>
  <si>
    <t>补课-直播请假补课率</t>
  </si>
  <si>
    <t>寒暑班-排课学员数</t>
  </si>
  <si>
    <t>寒暑班-排课课节数</t>
  </si>
  <si>
    <t>寒暑班-到课消课课节数</t>
  </si>
  <si>
    <t>寒暑班-完课消课课节数</t>
  </si>
  <si>
    <t>寒暑班-消耗课时数</t>
  </si>
  <si>
    <t>寒暑班-签到消耗课时数</t>
  </si>
  <si>
    <t>【正式课（不包含补课且剔除寒暑班）】</t>
  </si>
  <si>
    <t>【补课（不包含补课且剔除寒暑班）】</t>
  </si>
  <si>
    <t>【寒暑班】</t>
  </si>
  <si>
    <t>14）排课课节数：筛选时段内，课节类型为普通课&amp;活动课，考勤状态不为取消用户，学员班级身份不为补课，统计此类课节数；</t>
  </si>
  <si>
    <t>13）排课学员：筛选时段内，课节类型为普通课&amp;活动课，考勤状态不为取消用户，学员班级身份不为补课，此类课节数&gt;0的学员；</t>
  </si>
  <si>
    <t>15）到课消课课节数：筛选时段内，课节类型为普通课&amp;活动课，考勤状态不为取消用户，学员班级身份不为补课，直播间消耗时长&gt;0分钟且消耗课时数&gt;0，统计此类课节数；</t>
  </si>
  <si>
    <t>16）完课消课课节数：筛选时段内，课节类型为普通课&amp;活动课，考勤状态不为取消用户，学员班级身份不为补课，直播间消耗时长≥40分钟且消耗课时数&gt;0，统计此类课节数；</t>
  </si>
  <si>
    <t>17）消耗课时数：筛选时段内，课节类型为普通课&amp;活动课，考勤状态不为取消用户，学员班级身份不为补课，实际消耗的课时数；</t>
  </si>
  <si>
    <t>18）请假课节数：筛选时段内，课节类型为普通课&amp;活动课，考勤状态为请假用户，学员班级身份不为补课，统计此类课节数。</t>
  </si>
  <si>
    <t>19）到课完课率：完课消课课节数/到课消课课节数</t>
  </si>
  <si>
    <t>20）AI补课学员数：筛选时段内，课节类型为普通课&amp;活动课，考勤状态为请假用户，学员班级身份不为补课，且当堂课AI补课状态为已补课，此类课节数&gt;0的学员；</t>
  </si>
  <si>
    <t>21）AI补课课节数：筛选时段内，课节类型为普通课&amp;活动课，考勤状态为请假用户，学员班级身份不为补课，且当堂课AI补课状态为已补课，统计此类课节数；</t>
  </si>
  <si>
    <t>22）直播补课学员数：筛选时段内，课节类型为普通课&amp;活动课，考勤状态不为取消用户，学员班级身份为补课，此类课节数&gt;0的学员；</t>
  </si>
  <si>
    <t>23）直播补课课节数：筛选时段内，课节类型为普通课&amp;活动课，考勤状态不为取消用户，学员班级身份为补课，统计此类课节数；</t>
  </si>
  <si>
    <t>24）直播补课消耗课时数：筛选时段内，课节类型为普通课&amp;活动课，考勤状态不为取消用户，学员班级身份为补课，统计此类耗课数；</t>
  </si>
  <si>
    <t>25）直播补课签到消耗课时数：筛选时段内，课节类型为普通课&amp;活动课，考勤状态不为取消用户，学员班级身份为补课，直播间消耗时长&gt;1分钟，统计此类耗课数。</t>
  </si>
  <si>
    <t>26）直播请假补课率：直播补课课节数/请假课节总数。</t>
  </si>
  <si>
    <t>27）排课学员：筛选时段内，课节类型为普通课&amp;活动课，考勤状态不为取消用户，课类名称以L或R开头，此类课节数&gt;0的学员；</t>
  </si>
  <si>
    <t>28）排课课节数：筛选时段内，课节类型为普通课&amp;活动课，考勤状态不为取消用户，课类名称以L或R开头，统计此类课节数；</t>
  </si>
  <si>
    <t>29）到课消课课节数：筛选时段内，课节类型为普通课&amp;活动课，考勤状态不为取消用户，课类名称以L或R开头，直播间消耗时长&gt;0分钟且消耗课时数&gt;0，统计此类课节数；</t>
  </si>
  <si>
    <t>30）完课消课课节数：筛选时段内，课节类型为普通课&amp;活动课，考勤状态不为取消用户，课类名称以L或R开头，直播间消耗时长≥40分钟且消耗课时数&gt;0，统计此类课节数；</t>
  </si>
  <si>
    <t>31）消耗课时数：筛选时段内，课节类型为普通课&amp;活动课，考勤状态不为取消用户，课类名称以L或R开头，实际消耗的课时数；</t>
  </si>
  <si>
    <t>32）签到消耗课时数：筛选时段内，课节类型为普通课&amp;活动课，考勤状态不为取消用户，课类名称以L或R开头，直播间消耗时长&gt;0分钟，实际消耗的课时数。</t>
  </si>
  <si>
    <t>注意：正式课、补课以及寒暑班对应指标数据均卡上课时间为筛选月，如果补课/消课等数据涉及到跨月，则对应数据会发生变化</t>
  </si>
  <si>
    <t>郑舒婷</t>
  </si>
  <si>
    <t>总约课数</t>
  </si>
  <si>
    <t>首课及时跟进数</t>
  </si>
  <si>
    <t>李文韬</t>
  </si>
  <si>
    <t>首专及时跟进数</t>
  </si>
  <si>
    <t>分配LP后首课学员数</t>
  </si>
  <si>
    <t>首课勿扰学员数</t>
  </si>
  <si>
    <t>首课勿扰学员占比</t>
  </si>
  <si>
    <t>首专勿扰学员数</t>
  </si>
  <si>
    <t>首专勿扰学员占比</t>
  </si>
  <si>
    <t>首月勿扰学员数</t>
  </si>
  <si>
    <t>首月勿扰学员占比</t>
  </si>
  <si>
    <t>6）首专：①正在使用中的新签课包或者首个使用的课包为拆分课包，② 上课的序号能被4整除，且为考勤状态下的普通课，且消耗课时数（基础+赠送）在4-7节内，上课时间在本月 必须同时满足以上两点</t>
  </si>
  <si>
    <t>9）及时跟进率：48小时内外呼跟进，首课及时跟进率分子分母均限制分配LP后完成首课；首专为72h内外呼跟进</t>
  </si>
  <si>
    <t>海外团队</t>
  </si>
  <si>
    <t>总计</t>
  </si>
  <si>
    <t>台湾组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</si>
  <si>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</si>
  <si>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</si>
  <si>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</si>
  <si>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</si>
  <si>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</si>
  <si>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</si>
  <si>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</si>
  <si>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</si>
  <si>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洪耀宗</t>
  </si>
  <si>
    <t>季晓静</t>
  </si>
  <si>
    <t>陈慧妍</t>
  </si>
  <si>
    <t>王凯智</t>
  </si>
  <si>
    <t>阮锦霞</t>
  </si>
  <si>
    <t>林明怡</t>
  </si>
  <si>
    <t>赵松彬</t>
  </si>
  <si>
    <t>张海琪</t>
  </si>
  <si>
    <t>李颖杰</t>
  </si>
  <si>
    <t>郑祖惠</t>
  </si>
  <si>
    <t>温宇豪</t>
  </si>
  <si>
    <t>邝仪森</t>
  </si>
  <si>
    <t>罗思情</t>
  </si>
  <si>
    <t>梁峻豪</t>
  </si>
  <si>
    <t>王柏涛</t>
  </si>
  <si>
    <t>简海玲</t>
  </si>
  <si>
    <t>冼智艺</t>
  </si>
  <si>
    <t>黄玉芹</t>
  </si>
  <si>
    <t>王永霞</t>
  </si>
  <si>
    <t>何宛霖</t>
  </si>
  <si>
    <t>潘小雅</t>
  </si>
  <si>
    <t>罗庆环</t>
  </si>
  <si>
    <t>陈洁丽</t>
  </si>
  <si>
    <t>王一强</t>
  </si>
  <si>
    <t>吴嘉雯</t>
  </si>
  <si>
    <t>刘静然</t>
  </si>
  <si>
    <t>庞岚枫</t>
  </si>
  <si>
    <t>芦小珍</t>
  </si>
  <si>
    <t>王路</t>
  </si>
  <si>
    <t>孟瑶</t>
  </si>
  <si>
    <t>李佳佳</t>
  </si>
  <si>
    <t>阮忻妍</t>
  </si>
  <si>
    <t>王新宇</t>
  </si>
  <si>
    <t>李书悦</t>
  </si>
  <si>
    <t>朱肖朋</t>
  </si>
  <si>
    <t>杜婷婷</t>
  </si>
  <si>
    <t>尤鹤</t>
  </si>
  <si>
    <t>郭欣怡</t>
  </si>
  <si>
    <t>迟月</t>
  </si>
  <si>
    <t>蔡图雅</t>
  </si>
  <si>
    <t>董筠宜</t>
  </si>
  <si>
    <t>于淑艳</t>
  </si>
  <si>
    <t>王彦</t>
  </si>
  <si>
    <t>王智文</t>
  </si>
  <si>
    <t>孙鹏飞</t>
  </si>
  <si>
    <t>孙浩</t>
  </si>
  <si>
    <t>王小苗</t>
  </si>
  <si>
    <t>吴迪</t>
  </si>
  <si>
    <t>刘明飞</t>
  </si>
  <si>
    <t>万美美</t>
  </si>
  <si>
    <t>王爽</t>
  </si>
  <si>
    <t>周子雅</t>
  </si>
  <si>
    <t>冷林鑫</t>
  </si>
  <si>
    <t>石晓杰</t>
  </si>
  <si>
    <t>张婷婷</t>
  </si>
  <si>
    <t>王旭</t>
  </si>
  <si>
    <t>李松榕</t>
  </si>
  <si>
    <t>梁媛</t>
  </si>
  <si>
    <t>刘笑</t>
  </si>
  <si>
    <t>敖勇</t>
  </si>
  <si>
    <t>田淇</t>
  </si>
  <si>
    <t>曲慧</t>
  </si>
  <si>
    <t>刘宇</t>
  </si>
  <si>
    <t>刘岐峰</t>
  </si>
  <si>
    <t>张弛</t>
  </si>
  <si>
    <t>刘丹</t>
  </si>
  <si>
    <t>韩明昭</t>
  </si>
  <si>
    <t>王晨</t>
  </si>
  <si>
    <t>何况</t>
  </si>
  <si>
    <t>郭津池</t>
  </si>
  <si>
    <t>刘彤</t>
  </si>
  <si>
    <t>于晓薇</t>
  </si>
  <si>
    <t>李鑫</t>
  </si>
  <si>
    <t>于卓言</t>
  </si>
  <si>
    <t>孙玮</t>
  </si>
  <si>
    <t>董思雨</t>
  </si>
  <si>
    <t>邓翔睿</t>
  </si>
  <si>
    <t>齐志昂</t>
  </si>
  <si>
    <t>范冉</t>
  </si>
  <si>
    <t>林聪</t>
  </si>
  <si>
    <t>刘博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</si>
</sst>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 "/>
    <numFmt numFmtId="177" formatCode="0_ "/>
  </numFmts>
  <fonts count="9">
    <font>
      <sz val="11"/>
      <color indexed="8"/>
      <name val="宋体"/>
      <family val="2"/>
      <charset val="-122"/>
      <scheme val="minor"/>
    </font>
    <font>
      <sz val="10"/>
      <color theme="1"/>
      <name val="Arial"/>
      <family val="2"/>
    </font>
    <font>
      <sz val="10"/>
      <color indexed="8"/>
      <name val="微软雅黑"/>
      <family val="2"/>
      <charset val="-122"/>
    </font>
    <font>
      <b/>
      <sz val="10"/>
      <color theme="0"/>
      <name val="微软雅黑"/>
      <family val="2"/>
      <charset val="-122"/>
    </font>
    <font>
      <sz val="9"/>
      <name val="宋体"/>
      <family val="3"/>
      <charset val="-122"/>
      <scheme val="minor"/>
    </font>
    <font>
      <sz val="9"/>
      <color indexed="8"/>
      <name val="微软雅黑"/>
      <family val="2"/>
      <charset val="-122"/>
    </font>
    <font>
      <sz val="10"/>
      <name val="微软雅黑"/>
      <family val="2"/>
      <charset val="-122"/>
    </font>
    <font>
      <sz val="10"/>
      <color rgb="FFFFFFFF"/>
      <name val="微软雅黑"/>
      <family val="2"/>
      <charset val="-122"/>
    </font>
    <font>
      <sz val="10"/>
      <color rgb="FFED0000"/>
      <name val="微软雅黑"/>
      <family val="2"/>
      <charset val="-122"/>
    </font>
  </fonts>
  <fills count="8">
    <fill>
      <patternFill patternType="none"/>
    </fill>
    <fill>
      <patternFill patternType="gray125"/>
    </fill>
    <fill>
      <patternFill patternType="solid">
        <fgColor theme="4" tint="-0.249960005283355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8" tint="0.7999799847602844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0" fontId="2" fillId="6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2" fillId="4" borderId="1" xfId="0" applyNumberFormat="1" applyFont="1" applyFill="1" applyBorder="1" applyAlignment="1">
      <alignment horizontal="center" vertical="center" wrapText="1"/>
    </xf>
    <xf numFmtId="10" fontId="2" fillId="7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17">
    <dxf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b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color theme="1"/>
      </font>
    </dxf>
    <dxf>
      <font>
        <color theme="1"/>
      </font>
      <border>
        <bottom style="thin">
          <color theme="4" tint="0.399949997663497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top style="thin">
          <color theme="4" tint="0.3999499976634979"/>
        </top>
        <bottom style="thin">
          <color theme="4" tint="0.3999499976634979"/>
        </bottom>
      </border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99976634979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7"/>
  <sheetViews>
    <sheetView tabSelected="1" workbookViewId="0" topLeftCell="A1">
      <pane xSplit="3" ySplit="2" topLeftCell="J3" activePane="bottomRight" state="frozen"/>
      <selection pane="topLeft" activeCell="A1" sqref="A1"/>
      <selection pane="bottomLeft" activeCell="A3" sqref="A3"/>
      <selection pane="topRight" activeCell="C1" sqref="C1"/>
      <selection pane="bottomRight" activeCell="O17" sqref="O17"/>
    </sheetView>
  </sheetViews>
  <sheetFormatPr defaultColWidth="9.005" defaultRowHeight="16.5"/>
  <cols>
    <col min="1" max="1" width="9" style="2"/>
    <col min="2" max="2" width="10.5" style="2" customWidth="1"/>
    <col min="3" max="3" width="9" style="2"/>
    <col min="4" max="4" width="10.375" style="3" customWidth="1"/>
    <col min="5" max="8" width="9" style="3"/>
    <col min="9" max="9" width="0" style="3" hidden="1" customWidth="1"/>
    <col min="10" max="12" width="9" style="3"/>
    <col min="13" max="13" width="9" style="4"/>
    <col min="14" max="17" width="8.75" style="4" customWidth="1"/>
    <col min="18" max="21" width="9" style="2" customWidth="1"/>
    <col min="22" max="22" width="9" style="4" hidden="1" customWidth="1"/>
    <col min="23" max="24" width="9" style="4" customWidth="1"/>
    <col min="25" max="25" width="9.75" style="4" customWidth="1"/>
    <col min="26" max="26" width="10.625" style="4" hidden="1" customWidth="1"/>
    <col min="27" max="27" width="9" style="2"/>
    <col min="28" max="28" width="0" style="4" hidden="1" customWidth="1"/>
    <col min="29" max="30" width="9" style="4"/>
    <col min="31" max="31" width="9.375" style="4"/>
    <col min="32" max="32" width="9" style="4"/>
    <col min="33" max="33" width="8.625" style="4" customWidth="1"/>
    <col min="34" max="36" width="9" style="2"/>
    <col min="37" max="37" width="9" style="4"/>
    <col min="38" max="38" width="9.375" style="4"/>
    <col min="39" max="39" width="9.875" style="4" customWidth="1"/>
    <col min="40" max="40" width="9" style="2"/>
    <col min="41" max="41" width="8.75" style="4" customWidth="1"/>
    <col min="42" max="16384" width="9" style="2"/>
  </cols>
  <sheetData>
    <row r="1" spans="1:1" ht="16.5">
      <c r="A1" s="2"/>
    </row>
    <row r="2" spans="1:62" s="1" customFormat="1" ht="49.5">
      <c r="A2" s="1"/>
      <c r="B2" s="5" t="s">
        <v>0</v>
      </c>
      <c r="C2" s="5" t="s">
        <v>1</v>
      </c>
      <c r="D2" s="6" t="s">
        <v>39</v>
      </c>
      <c r="E2" s="6" t="s">
        <v>2</v>
      </c>
      <c r="F2" s="6" t="s">
        <v>89</v>
      </c>
      <c r="G2" s="6" t="s">
        <v>33</v>
      </c>
      <c r="H2" s="6" t="s">
        <v>3</v>
      </c>
      <c r="I2" s="6" t="s">
        <v>4</v>
      </c>
      <c r="J2" s="6" t="s">
        <v>34</v>
      </c>
      <c r="K2" s="6" t="s">
        <v>35</v>
      </c>
      <c r="L2" s="6" t="s">
        <v>5</v>
      </c>
      <c r="M2" s="7" t="s">
        <v>28</v>
      </c>
      <c r="N2" s="7" t="s">
        <v>6</v>
      </c>
      <c r="O2" s="7" t="s">
        <v>36</v>
      </c>
      <c r="P2" s="7" t="s">
        <v>37</v>
      </c>
      <c r="Q2" s="7" t="s">
        <v>7</v>
      </c>
      <c r="R2" s="9" t="s">
        <v>8</v>
      </c>
      <c r="S2" s="9" t="s">
        <v>94</v>
      </c>
      <c r="T2" s="9" t="s">
        <v>95</v>
      </c>
      <c r="U2" s="9" t="s">
        <v>93</v>
      </c>
      <c r="V2" s="20" t="s">
        <v>30</v>
      </c>
      <c r="W2" s="10" t="s">
        <v>9</v>
      </c>
      <c r="X2" s="10" t="s">
        <v>90</v>
      </c>
      <c r="Y2" s="10" t="s">
        <v>10</v>
      </c>
      <c r="Z2" s="10" t="s">
        <v>41</v>
      </c>
      <c r="AA2" s="11" t="s">
        <v>11</v>
      </c>
      <c r="AB2" s="12" t="s">
        <v>31</v>
      </c>
      <c r="AC2" s="12" t="s">
        <v>96</v>
      </c>
      <c r="AD2" s="12" t="s">
        <v>97</v>
      </c>
      <c r="AE2" s="12" t="s">
        <v>12</v>
      </c>
      <c r="AF2" s="12" t="s">
        <v>92</v>
      </c>
      <c r="AG2" s="12" t="s">
        <v>13</v>
      </c>
      <c r="AH2" s="13" t="s">
        <v>14</v>
      </c>
      <c r="AI2" s="13" t="s">
        <v>98</v>
      </c>
      <c r="AJ2" s="13" t="s">
        <v>99</v>
      </c>
      <c r="AK2" s="14" t="s">
        <v>32</v>
      </c>
      <c r="AL2" s="14" t="s">
        <v>15</v>
      </c>
      <c r="AM2" s="14" t="s">
        <v>16</v>
      </c>
      <c r="AN2" s="17" t="s">
        <v>23</v>
      </c>
      <c r="AO2" s="21" t="s">
        <v>24</v>
      </c>
      <c r="AP2" s="23" t="s">
        <v>44</v>
      </c>
      <c r="AQ2" s="23" t="s">
        <v>45</v>
      </c>
      <c r="AR2" s="23" t="s">
        <v>46</v>
      </c>
      <c r="AS2" s="23" t="s">
        <v>47</v>
      </c>
      <c r="AT2" s="23" t="s">
        <v>48</v>
      </c>
      <c r="AU2" s="23" t="s">
        <v>49</v>
      </c>
      <c r="AV2" s="23" t="s">
        <v>50</v>
      </c>
      <c r="AW2" s="24" t="s">
        <v>51</v>
      </c>
      <c r="AX2" s="24" t="s">
        <v>52</v>
      </c>
      <c r="AY2" s="24" t="s">
        <v>53</v>
      </c>
      <c r="AZ2" s="24" t="s">
        <v>54</v>
      </c>
      <c r="BA2" s="24" t="s">
        <v>55</v>
      </c>
      <c r="BB2" s="24" t="s">
        <v>56</v>
      </c>
      <c r="BC2" s="24" t="s">
        <v>57</v>
      </c>
      <c r="BD2" s="25" t="s">
        <v>58</v>
      </c>
      <c r="BE2" s="25" t="s">
        <v>59</v>
      </c>
      <c r="BF2" s="25" t="s">
        <v>60</v>
      </c>
      <c r="BG2" s="25" t="s">
        <v>61</v>
      </c>
      <c r="BH2" s="25" t="s">
        <v>62</v>
      </c>
      <c r="BI2" s="25" t="s">
        <v>63</v>
      </c>
      <c r="BJ2" s="29">
        <v>11.0</v>
      </c>
    </row>
    <row r="3" spans="1:61" ht="19.15" customHeight="1">
      <c r="A3" s="2"/>
      <c r="B3" s="8" t="s">
        <v>102</v>
      </c>
      <c r="C3" s="8" t="s">
        <v>103</v>
      </c>
      <c r="D3" s="15">
        <v>38385.0</v>
      </c>
      <c r="E3" s="15">
        <v>102164.0</v>
      </c>
      <c r="F3" s="15">
        <v>121820.0</v>
      </c>
      <c r="G3" s="15">
        <v>110744.0</v>
      </c>
      <c r="H3" s="15">
        <v>110732.0</v>
      </c>
      <c r="I3" s="15">
        <v>2.0</v>
      </c>
      <c r="J3" s="15">
        <v>10.0</v>
      </c>
      <c r="K3" s="15">
        <v>11076.0</v>
      </c>
      <c r="L3" s="15">
        <v>93357.0</v>
      </c>
      <c r="M3" s="16">
        <v>0.8386471843703825</v>
      </c>
      <c r="N3" s="16">
        <v>0.9089804629781645</v>
      </c>
      <c r="O3" s="16">
        <v>0.9090789689706124</v>
      </c>
      <c r="P3" s="16">
        <v>0.09092103102938762</v>
      </c>
      <c r="Q3" s="16">
        <v>0.7663519947463471</v>
      </c>
      <c r="R3" s="8">
        <v>640.0</v>
      </c>
      <c r="S3" s="8">
        <v>6.0</v>
      </c>
      <c r="T3" s="16">
        <f>IFERROR(S3/R3,"")</f>
        <v>0.009375</v>
      </c>
      <c r="U3" s="8">
        <v>625.0</v>
      </c>
      <c r="V3" s="16">
        <v>0.884375</v>
      </c>
      <c r="W3" s="16">
        <v>0.9609375</v>
      </c>
      <c r="X3" s="31">
        <v>563.0</v>
      </c>
      <c r="Y3" s="16">
        <v>0.9008</v>
      </c>
      <c r="Z3" s="16">
        <v>0.0</v>
      </c>
      <c r="AA3" s="8">
        <v>615.0</v>
      </c>
      <c r="AB3" s="16">
        <v>1.102439024390244</v>
      </c>
      <c r="AC3" s="15">
        <v>15.0</v>
      </c>
      <c r="AD3" s="16">
        <f>IFERROR(AC3/AA3,"")</f>
        <v>0.024390243902439025</v>
      </c>
      <c r="AE3" s="16">
        <v>0.8829268292682927</v>
      </c>
      <c r="AF3" s="31">
        <v>493.0</v>
      </c>
      <c r="AG3" s="16">
        <v>0.8016260162601626</v>
      </c>
      <c r="AH3" s="8">
        <v>649.0</v>
      </c>
      <c r="AI3" s="8">
        <v>20.0</v>
      </c>
      <c r="AJ3" s="16">
        <f>IFERROR(AI3/AH3,"")</f>
        <v>0.030816640986132512</v>
      </c>
      <c r="AK3" s="16">
        <v>0.9050462249614792</v>
      </c>
      <c r="AL3" s="16">
        <v>0.6718027734976888</v>
      </c>
      <c r="AM3" s="16">
        <v>0.2727272727272727</v>
      </c>
      <c r="AN3" s="8">
        <v>0.0</v>
      </c>
      <c r="AO3" s="22"/>
      <c r="AP3" s="28">
        <v>23069.0</v>
      </c>
      <c r="AQ3" s="26">
        <v>142385.0</v>
      </c>
      <c r="AR3" s="26">
        <v>109568.0</v>
      </c>
      <c r="AS3" s="26">
        <v>94830.0</v>
      </c>
      <c r="AT3" s="26">
        <v>113413.0</v>
      </c>
      <c r="AU3" s="26">
        <v>10907.0</v>
      </c>
      <c r="AV3" s="27">
        <v>0.8654899240654206</v>
      </c>
      <c r="AW3" s="26">
        <v>600.0</v>
      </c>
      <c r="AX3" s="26">
        <v>698.0</v>
      </c>
      <c r="AY3" s="26">
        <v>1279.0</v>
      </c>
      <c r="AZ3" s="26">
        <v>1580.0</v>
      </c>
      <c r="BA3" s="26">
        <v>1244.0</v>
      </c>
      <c r="BB3" s="26">
        <v>1219.0</v>
      </c>
      <c r="BC3" s="27">
        <v>0.14486109837718897</v>
      </c>
      <c r="BD3" s="26">
        <v>0.0</v>
      </c>
      <c r="BE3" s="26">
        <v>0.0</v>
      </c>
      <c r="BF3" s="26">
        <v>0.0</v>
      </c>
      <c r="BG3" s="26">
        <v>0.0</v>
      </c>
      <c r="BH3" s="26">
        <v>0.0</v>
      </c>
      <c r="BI3" s="26">
        <v>0.0</v>
      </c>
    </row>
    <row r="4" spans="1:61" ht="19.15" customHeight="1">
      <c r="A4" s="2"/>
      <c r="B4" s="8" t="s">
        <v>104</v>
      </c>
      <c r="C4" s="8" t="s">
        <v>103</v>
      </c>
      <c r="D4" s="15">
        <v>2026.0</v>
      </c>
      <c r="E4" s="15">
        <v>5434.0</v>
      </c>
      <c r="F4" s="15">
        <v>6189.0</v>
      </c>
      <c r="G4" s="15">
        <v>5484.0</v>
      </c>
      <c r="H4" s="15">
        <v>5484.0</v>
      </c>
      <c r="I4" s="15">
        <v>0.0</v>
      </c>
      <c r="J4" s="15">
        <v>0.0</v>
      </c>
      <c r="K4" s="15">
        <v>705.0</v>
      </c>
      <c r="L4" s="15">
        <v>5017.0</v>
      </c>
      <c r="M4" s="16">
        <v>0.8780093714655033</v>
      </c>
      <c r="N4" s="16">
        <v>0.8860882210373243</v>
      </c>
      <c r="O4" s="16">
        <v>0.8860882210373243</v>
      </c>
      <c r="P4" s="16">
        <v>0.11391177896267571</v>
      </c>
      <c r="Q4" s="16">
        <v>0.8106317660365164</v>
      </c>
      <c r="R4" s="8">
        <v>95.0</v>
      </c>
      <c r="S4" s="8">
        <v>0.0</v>
      </c>
      <c r="T4" s="16">
        <f>IFERROR(S4/R4,"")</f>
        <v>0.0</v>
      </c>
      <c r="U4" s="8">
        <v>94.0</v>
      </c>
      <c r="V4" s="16">
        <v>0.8631578947368421</v>
      </c>
      <c r="W4" s="16">
        <v>0.9789473684210527</v>
      </c>
      <c r="X4" s="31">
        <v>90.0</v>
      </c>
      <c r="Y4" s="16">
        <v>0.9574468085106383</v>
      </c>
      <c r="Z4" s="16">
        <v>0.0</v>
      </c>
      <c r="AA4" s="8">
        <v>78.0</v>
      </c>
      <c r="AB4" s="16">
        <v>1.0929487179487178</v>
      </c>
      <c r="AC4" s="15">
        <v>0.0</v>
      </c>
      <c r="AD4" s="16">
        <f>IFERROR(AC4/AA4,"")</f>
        <v>0.0</v>
      </c>
      <c r="AE4" s="16">
        <v>0.8974358974358975</v>
      </c>
      <c r="AF4" s="31">
        <v>65.0</v>
      </c>
      <c r="AG4" s="16">
        <v>0.8333333333333334</v>
      </c>
      <c r="AH4" s="8">
        <v>79.0</v>
      </c>
      <c r="AI4" s="8">
        <v>0.0</v>
      </c>
      <c r="AJ4" s="16">
        <f>IFERROR(AI4/AH4,"")</f>
        <v>0.0</v>
      </c>
      <c r="AK4" s="16">
        <v>0.9493670886075949</v>
      </c>
      <c r="AL4" s="16">
        <v>0.5316455696202531</v>
      </c>
      <c r="AM4" s="16">
        <v>0.21518987341772153</v>
      </c>
      <c r="AN4" s="8">
        <v>0.0</v>
      </c>
      <c r="AO4" s="22"/>
      <c r="AP4" s="28">
        <v>1191.0</v>
      </c>
      <c r="AQ4" s="26">
        <v>7451.0</v>
      </c>
      <c r="AR4" s="26">
        <v>5457.0</v>
      </c>
      <c r="AS4" s="26">
        <v>4795.0</v>
      </c>
      <c r="AT4" s="26">
        <v>5670.0</v>
      </c>
      <c r="AU4" s="26">
        <v>704.0</v>
      </c>
      <c r="AV4" s="27">
        <v>0.8786879237676379</v>
      </c>
      <c r="AW4" s="26">
        <v>8.0</v>
      </c>
      <c r="AX4" s="26">
        <v>8.0</v>
      </c>
      <c r="AY4" s="26">
        <v>27.0</v>
      </c>
      <c r="AZ4" s="26">
        <v>29.0</v>
      </c>
      <c r="BA4" s="26">
        <v>23.0</v>
      </c>
      <c r="BB4" s="26">
        <v>23.0</v>
      </c>
      <c r="BC4" s="27">
        <v>0.041193181818181816</v>
      </c>
      <c r="BD4" s="26">
        <v>0.0</v>
      </c>
      <c r="BE4" s="26">
        <v>0.0</v>
      </c>
      <c r="BF4" s="26">
        <v>0.0</v>
      </c>
      <c r="BG4" s="26">
        <v>0.0</v>
      </c>
      <c r="BH4" s="26">
        <v>0.0</v>
      </c>
      <c r="BI4" s="26">
        <v>0.0</v>
      </c>
    </row>
    <row r="5" spans="1:61" ht="19.15" customHeight="1">
      <c r="A5" s="2"/>
      <c r="B5" s="8" t="s">
        <v>105</v>
      </c>
      <c r="C5" s="8" t="s">
        <v>103</v>
      </c>
      <c r="D5" s="15">
        <v>4521.0</v>
      </c>
      <c r="E5" s="15">
        <v>12259.0</v>
      </c>
      <c r="F5" s="15">
        <v>14797.0</v>
      </c>
      <c r="G5" s="15">
        <v>13411.0</v>
      </c>
      <c r="H5" s="15">
        <v>13404.0</v>
      </c>
      <c r="I5" s="15">
        <v>0.0</v>
      </c>
      <c r="J5" s="15">
        <v>7.0</v>
      </c>
      <c r="K5" s="15">
        <v>1386.0</v>
      </c>
      <c r="L5" s="15">
        <v>11287.0</v>
      </c>
      <c r="M5" s="16">
        <v>0.8284787456916942</v>
      </c>
      <c r="N5" s="16">
        <v>0.9058592958032033</v>
      </c>
      <c r="O5" s="16">
        <v>0.9063323646685139</v>
      </c>
      <c r="P5" s="16">
        <v>0.09366763533148612</v>
      </c>
      <c r="Q5" s="16">
        <v>0.7627897546800027</v>
      </c>
      <c r="R5" s="8">
        <v>113.0</v>
      </c>
      <c r="S5" s="8">
        <v>1.0</v>
      </c>
      <c r="T5" s="16">
        <f>IFERROR(S5/R5,"")</f>
        <v>0.008849557522123894</v>
      </c>
      <c r="U5" s="8">
        <v>109.0</v>
      </c>
      <c r="V5" s="16">
        <v>0.8849557522123894</v>
      </c>
      <c r="W5" s="16">
        <v>0.9646017699115044</v>
      </c>
      <c r="X5" s="31">
        <v>103.0</v>
      </c>
      <c r="Y5" s="16">
        <v>0.944954128440367</v>
      </c>
      <c r="Z5" s="16">
        <v>0.0</v>
      </c>
      <c r="AA5" s="8">
        <v>103.0</v>
      </c>
      <c r="AB5" s="16">
        <v>1.1504854368932038</v>
      </c>
      <c r="AC5" s="15">
        <v>4.0</v>
      </c>
      <c r="AD5" s="16">
        <f>IFERROR(AC5/AA5,"")</f>
        <v>0.038834951456310676</v>
      </c>
      <c r="AE5" s="16">
        <v>0.9514563106796117</v>
      </c>
      <c r="AF5" s="31">
        <v>98.0</v>
      </c>
      <c r="AG5" s="16">
        <v>0.9514563106796117</v>
      </c>
      <c r="AH5" s="8">
        <v>131.0</v>
      </c>
      <c r="AI5" s="8">
        <v>8.0</v>
      </c>
      <c r="AJ5" s="16">
        <f>IFERROR(AI5/AH5,"")</f>
        <v>0.061068702290076333</v>
      </c>
      <c r="AK5" s="16">
        <v>0.8893129770992366</v>
      </c>
      <c r="AL5" s="16">
        <v>0.7175572519083969</v>
      </c>
      <c r="AM5" s="16">
        <v>0.32061068702290074</v>
      </c>
      <c r="AN5" s="8">
        <v>0.0</v>
      </c>
      <c r="AO5" s="22"/>
      <c r="AP5" s="28">
        <v>2778.0</v>
      </c>
      <c r="AQ5" s="26">
        <v>17240.0</v>
      </c>
      <c r="AR5" s="26">
        <v>13160.0</v>
      </c>
      <c r="AS5" s="26">
        <v>11528.0</v>
      </c>
      <c r="AT5" s="26">
        <v>13682.0</v>
      </c>
      <c r="AU5" s="26">
        <v>1353.0</v>
      </c>
      <c r="AV5" s="27">
        <v>0.8759878419452888</v>
      </c>
      <c r="AW5" s="26">
        <v>42.0</v>
      </c>
      <c r="AX5" s="26">
        <v>45.0</v>
      </c>
      <c r="AY5" s="26">
        <v>271.0</v>
      </c>
      <c r="AZ5" s="26">
        <v>334.0</v>
      </c>
      <c r="BA5" s="26">
        <v>259.0</v>
      </c>
      <c r="BB5" s="26">
        <v>253.0</v>
      </c>
      <c r="BC5" s="27">
        <v>0.24685883222468588</v>
      </c>
      <c r="BD5" s="26">
        <v>0.0</v>
      </c>
      <c r="BE5" s="26">
        <v>0.0</v>
      </c>
      <c r="BF5" s="26">
        <v>0.0</v>
      </c>
      <c r="BG5" s="26">
        <v>0.0</v>
      </c>
      <c r="BH5" s="26">
        <v>0.0</v>
      </c>
      <c r="BI5" s="26">
        <v>0.0</v>
      </c>
    </row>
    <row r="6" spans="1:61" ht="19.15" customHeight="1">
      <c r="A6" s="2"/>
      <c r="B6" s="8" t="s">
        <v>106</v>
      </c>
      <c r="C6" s="8" t="s">
        <v>103</v>
      </c>
      <c r="D6" s="15">
        <v>3811.0</v>
      </c>
      <c r="E6" s="15">
        <v>10340.0</v>
      </c>
      <c r="F6" s="15">
        <v>12509.0</v>
      </c>
      <c r="G6" s="15">
        <v>11452.0</v>
      </c>
      <c r="H6" s="15">
        <v>11452.0</v>
      </c>
      <c r="I6" s="15">
        <v>0.0</v>
      </c>
      <c r="J6" s="15">
        <v>0.0</v>
      </c>
      <c r="K6" s="15">
        <v>1057.0</v>
      </c>
      <c r="L6" s="15">
        <v>9435.0</v>
      </c>
      <c r="M6" s="16">
        <v>0.8266048445119514</v>
      </c>
      <c r="N6" s="16">
        <v>0.9155008393956351</v>
      </c>
      <c r="O6" s="16">
        <v>0.9155008393956351</v>
      </c>
      <c r="P6" s="16">
        <v>0.08449916060436485</v>
      </c>
      <c r="Q6" s="16">
        <v>0.7542569350067951</v>
      </c>
      <c r="R6" s="8">
        <v>91.0</v>
      </c>
      <c r="S6" s="8">
        <v>2.0</v>
      </c>
      <c r="T6" s="16">
        <f>IFERROR(S6/R6,"")</f>
        <v>0.02197802197802198</v>
      </c>
      <c r="U6" s="8">
        <v>88.0</v>
      </c>
      <c r="V6" s="16">
        <v>0.9010989010989011</v>
      </c>
      <c r="W6" s="16">
        <v>0.9230769230769231</v>
      </c>
      <c r="X6" s="31">
        <v>74.0</v>
      </c>
      <c r="Y6" s="16">
        <v>0.8409090909090909</v>
      </c>
      <c r="Z6" s="16">
        <v>0.0</v>
      </c>
      <c r="AA6" s="8">
        <v>98.0</v>
      </c>
      <c r="AB6" s="16">
        <v>1.1020408163265305</v>
      </c>
      <c r="AC6" s="15">
        <v>4.0</v>
      </c>
      <c r="AD6" s="16">
        <f>IFERROR(AC6/AA6,"")</f>
        <v>0.04081632653061224</v>
      </c>
      <c r="AE6" s="16">
        <v>0.9285714285714286</v>
      </c>
      <c r="AF6" s="31">
        <v>77.0</v>
      </c>
      <c r="AG6" s="16">
        <v>0.7857142857142857</v>
      </c>
      <c r="AH6" s="8">
        <v>104.0</v>
      </c>
      <c r="AI6" s="8">
        <v>3.0</v>
      </c>
      <c r="AJ6" s="16">
        <f>IFERROR(AI6/AH6,"")</f>
        <v>0.028846153846153848</v>
      </c>
      <c r="AK6" s="16">
        <v>0.8930288461538461</v>
      </c>
      <c r="AL6" s="16">
        <v>0.8076923076923077</v>
      </c>
      <c r="AM6" s="16">
        <v>0.3173076923076923</v>
      </c>
      <c r="AN6" s="8">
        <v>0.0</v>
      </c>
      <c r="AO6" s="22"/>
      <c r="AP6" s="28">
        <v>2382.0</v>
      </c>
      <c r="AQ6" s="26">
        <v>14755.0</v>
      </c>
      <c r="AR6" s="26">
        <v>11284.0</v>
      </c>
      <c r="AS6" s="26">
        <v>9825.0</v>
      </c>
      <c r="AT6" s="26">
        <v>11667.0</v>
      </c>
      <c r="AU6" s="26">
        <v>1045.0</v>
      </c>
      <c r="AV6" s="27">
        <v>0.8707018787663949</v>
      </c>
      <c r="AW6" s="26">
        <v>26.0</v>
      </c>
      <c r="AX6" s="26">
        <v>29.0</v>
      </c>
      <c r="AY6" s="26">
        <v>171.0</v>
      </c>
      <c r="AZ6" s="26">
        <v>211.0</v>
      </c>
      <c r="BA6" s="26">
        <v>173.0</v>
      </c>
      <c r="BB6" s="26">
        <v>172.0</v>
      </c>
      <c r="BC6" s="27">
        <v>0.20191387559808613</v>
      </c>
      <c r="BD6" s="26">
        <v>0.0</v>
      </c>
      <c r="BE6" s="26">
        <v>0.0</v>
      </c>
      <c r="BF6" s="26">
        <v>0.0</v>
      </c>
      <c r="BG6" s="26">
        <v>0.0</v>
      </c>
      <c r="BH6" s="26">
        <v>0.0</v>
      </c>
      <c r="BI6" s="26">
        <v>0.0</v>
      </c>
    </row>
    <row r="7" spans="1:61" ht="19.15" customHeight="1">
      <c r="A7" s="2"/>
      <c r="B7" s="8" t="s">
        <v>107</v>
      </c>
      <c r="C7" s="8" t="s">
        <v>103</v>
      </c>
      <c r="D7" s="15">
        <v>4017.0</v>
      </c>
      <c r="E7" s="15">
        <v>11070.0</v>
      </c>
      <c r="F7" s="15">
        <v>13370.0</v>
      </c>
      <c r="G7" s="15">
        <v>12162.0</v>
      </c>
      <c r="H7" s="15">
        <v>12161.0</v>
      </c>
      <c r="I7" s="15">
        <v>0.0</v>
      </c>
      <c r="J7" s="15">
        <v>1.0</v>
      </c>
      <c r="K7" s="15">
        <v>1208.0</v>
      </c>
      <c r="L7" s="15">
        <v>10010.0</v>
      </c>
      <c r="M7" s="16">
        <v>0.8279730740463724</v>
      </c>
      <c r="N7" s="16">
        <v>0.9095736724008975</v>
      </c>
      <c r="O7" s="16">
        <v>0.9096484667165295</v>
      </c>
      <c r="P7" s="16">
        <v>0.09035153328347045</v>
      </c>
      <c r="Q7" s="16">
        <v>0.7486910994764397</v>
      </c>
      <c r="R7" s="8">
        <v>103.0</v>
      </c>
      <c r="S7" s="8">
        <v>2.0</v>
      </c>
      <c r="T7" s="16">
        <f>IFERROR(S7/R7,"")</f>
        <v>0.019417475728155338</v>
      </c>
      <c r="U7" s="8">
        <v>98.0</v>
      </c>
      <c r="V7" s="16">
        <v>0.941747572815534</v>
      </c>
      <c r="W7" s="16">
        <v>0.9902912621359223</v>
      </c>
      <c r="X7" s="31">
        <v>94.0</v>
      </c>
      <c r="Y7" s="16">
        <v>0.9591836734693877</v>
      </c>
      <c r="Z7" s="16">
        <v>0.0</v>
      </c>
      <c r="AA7" s="8">
        <v>71.0</v>
      </c>
      <c r="AB7" s="16">
        <v>1.0070422535211268</v>
      </c>
      <c r="AC7" s="15">
        <v>1.0</v>
      </c>
      <c r="AD7" s="16">
        <f>IFERROR(AC7/AA7,"")</f>
        <v>0.014084507042253521</v>
      </c>
      <c r="AE7" s="16">
        <v>0.9154929577464789</v>
      </c>
      <c r="AF7" s="31">
        <v>64.0</v>
      </c>
      <c r="AG7" s="16">
        <v>0.9014084507042254</v>
      </c>
      <c r="AH7" s="8">
        <v>65.0</v>
      </c>
      <c r="AI7" s="8">
        <v>2.0</v>
      </c>
      <c r="AJ7" s="16">
        <f>IFERROR(AI7/AH7,"")</f>
        <v>0.03076923076923077</v>
      </c>
      <c r="AK7" s="16">
        <v>0.8730769230769231</v>
      </c>
      <c r="AL7" s="16">
        <v>0.6461538461538462</v>
      </c>
      <c r="AM7" s="16">
        <v>0.27692307692307694</v>
      </c>
      <c r="AN7" s="8">
        <v>0.0</v>
      </c>
      <c r="AO7" s="22"/>
      <c r="AP7" s="28">
        <v>2552.0</v>
      </c>
      <c r="AQ7" s="26">
        <v>15714.0</v>
      </c>
      <c r="AR7" s="26">
        <v>12023.0</v>
      </c>
      <c r="AS7" s="26">
        <v>10511.0</v>
      </c>
      <c r="AT7" s="26">
        <v>12491.0</v>
      </c>
      <c r="AU7" s="26">
        <v>1194.0</v>
      </c>
      <c r="AV7" s="27">
        <v>0.8742410380104799</v>
      </c>
      <c r="AW7" s="26">
        <v>38.0</v>
      </c>
      <c r="AX7" s="26">
        <v>40.0</v>
      </c>
      <c r="AY7" s="26">
        <v>150.0</v>
      </c>
      <c r="AZ7" s="26">
        <v>187.0</v>
      </c>
      <c r="BA7" s="26">
        <v>161.0</v>
      </c>
      <c r="BB7" s="26">
        <v>158.0</v>
      </c>
      <c r="BC7" s="27">
        <v>0.15661641541038526</v>
      </c>
      <c r="BD7" s="26">
        <v>0.0</v>
      </c>
      <c r="BE7" s="26">
        <v>0.0</v>
      </c>
      <c r="BF7" s="26">
        <v>0.0</v>
      </c>
      <c r="BG7" s="26">
        <v>0.0</v>
      </c>
      <c r="BH7" s="26">
        <v>0.0</v>
      </c>
      <c r="BI7" s="26">
        <v>0.0</v>
      </c>
    </row>
    <row r="8" spans="1:61" ht="19.15" customHeight="1">
      <c r="A8" s="2"/>
      <c r="B8" s="8" t="s">
        <v>108</v>
      </c>
      <c r="C8" s="8" t="s">
        <v>103</v>
      </c>
      <c r="D8" s="15">
        <v>6513.0</v>
      </c>
      <c r="E8" s="15">
        <v>17246.0</v>
      </c>
      <c r="F8" s="15">
        <v>20475.0</v>
      </c>
      <c r="G8" s="15">
        <v>18692.0</v>
      </c>
      <c r="H8" s="15">
        <v>18691.0</v>
      </c>
      <c r="I8" s="15">
        <v>1.0</v>
      </c>
      <c r="J8" s="15">
        <v>0.0</v>
      </c>
      <c r="K8" s="15">
        <v>1783.0</v>
      </c>
      <c r="L8" s="15">
        <v>15813.0</v>
      </c>
      <c r="M8" s="16">
        <v>0.8422954822954823</v>
      </c>
      <c r="N8" s="16">
        <v>0.9128693528693529</v>
      </c>
      <c r="O8" s="16">
        <v>0.9129181929181929</v>
      </c>
      <c r="P8" s="16">
        <v>0.08708180708180709</v>
      </c>
      <c r="Q8" s="16">
        <v>0.7723076923076924</v>
      </c>
      <c r="R8" s="8">
        <v>64.0</v>
      </c>
      <c r="S8" s="8">
        <v>0.0</v>
      </c>
      <c r="T8" s="16">
        <f>IFERROR(S8/R8,"")</f>
        <v>0.0</v>
      </c>
      <c r="U8" s="8">
        <v>64.0</v>
      </c>
      <c r="V8" s="16">
        <v>0.84375</v>
      </c>
      <c r="W8" s="16">
        <v>0.921875</v>
      </c>
      <c r="X8" s="31">
        <v>56.0</v>
      </c>
      <c r="Y8" s="16">
        <v>0.875</v>
      </c>
      <c r="Z8" s="16">
        <v>0.0</v>
      </c>
      <c r="AA8" s="8">
        <v>44.0</v>
      </c>
      <c r="AB8" s="16">
        <v>1.0795454545454546</v>
      </c>
      <c r="AC8" s="15">
        <v>4.0</v>
      </c>
      <c r="AD8" s="16">
        <f>IFERROR(AC8/AA8,"")</f>
        <v>0.09090909090909091</v>
      </c>
      <c r="AE8" s="16">
        <v>0.8409090909090909</v>
      </c>
      <c r="AF8" s="31">
        <v>32.0</v>
      </c>
      <c r="AG8" s="16">
        <v>0.7272727272727273</v>
      </c>
      <c r="AH8" s="8">
        <v>49.0</v>
      </c>
      <c r="AI8" s="8">
        <v>2.0</v>
      </c>
      <c r="AJ8" s="16">
        <f>IFERROR(AI8/AH8,"")</f>
        <v>0.04081632653061224</v>
      </c>
      <c r="AK8" s="16">
        <v>0.9030612244897959</v>
      </c>
      <c r="AL8" s="16">
        <v>0.673469387755102</v>
      </c>
      <c r="AM8" s="16">
        <v>0.1836734693877551</v>
      </c>
      <c r="AN8" s="8">
        <v>0.0</v>
      </c>
      <c r="AO8" s="22"/>
      <c r="AP8" s="28">
        <v>3873.0</v>
      </c>
      <c r="AQ8" s="26">
        <v>23766.0</v>
      </c>
      <c r="AR8" s="26">
        <v>18540.0</v>
      </c>
      <c r="AS8" s="26">
        <v>15907.0</v>
      </c>
      <c r="AT8" s="26">
        <v>19180.0</v>
      </c>
      <c r="AU8" s="26">
        <v>1754.0</v>
      </c>
      <c r="AV8" s="27">
        <v>0.8579827400215749</v>
      </c>
      <c r="AW8" s="26">
        <v>151.0</v>
      </c>
      <c r="AX8" s="26">
        <v>178.0</v>
      </c>
      <c r="AY8" s="26">
        <v>168.0</v>
      </c>
      <c r="AZ8" s="26">
        <v>208.0</v>
      </c>
      <c r="BA8" s="26">
        <v>161.0</v>
      </c>
      <c r="BB8" s="26">
        <v>158.0</v>
      </c>
      <c r="BC8" s="27">
        <v>0.11858608893956671</v>
      </c>
      <c r="BD8" s="26">
        <v>0.0</v>
      </c>
      <c r="BE8" s="26">
        <v>0.0</v>
      </c>
      <c r="BF8" s="26">
        <v>0.0</v>
      </c>
      <c r="BG8" s="26">
        <v>0.0</v>
      </c>
      <c r="BH8" s="26">
        <v>0.0</v>
      </c>
      <c r="BI8" s="26">
        <v>0.0</v>
      </c>
    </row>
    <row r="9" spans="1:61" ht="19.15" customHeight="1">
      <c r="A9" s="2"/>
      <c r="B9" s="8" t="s">
        <v>109</v>
      </c>
      <c r="C9" s="8" t="s">
        <v>103</v>
      </c>
      <c r="D9" s="15">
        <v>5059.0</v>
      </c>
      <c r="E9" s="15">
        <v>13236.0</v>
      </c>
      <c r="F9" s="15">
        <v>15785.0</v>
      </c>
      <c r="G9" s="15">
        <v>14292.0</v>
      </c>
      <c r="H9" s="15">
        <v>14290.0</v>
      </c>
      <c r="I9" s="15">
        <v>1.0</v>
      </c>
      <c r="J9" s="15">
        <v>1.0</v>
      </c>
      <c r="K9" s="15">
        <v>1493.0</v>
      </c>
      <c r="L9" s="15">
        <v>12039.0</v>
      </c>
      <c r="M9" s="16">
        <v>0.8385175799809946</v>
      </c>
      <c r="N9" s="16">
        <v>0.9052898321191004</v>
      </c>
      <c r="O9" s="16">
        <v>0.9054165346848274</v>
      </c>
      <c r="P9" s="16">
        <v>0.09458346531517263</v>
      </c>
      <c r="Q9" s="16">
        <v>0.7626860943934115</v>
      </c>
      <c r="R9" s="8">
        <v>37.0</v>
      </c>
      <c r="S9" s="8">
        <v>0.0</v>
      </c>
      <c r="T9" s="16">
        <f>IFERROR(S9/R9,"")</f>
        <v>0.0</v>
      </c>
      <c r="U9" s="8">
        <v>35.0</v>
      </c>
      <c r="V9" s="16">
        <v>0.8918918918918919</v>
      </c>
      <c r="W9" s="16">
        <v>0.9459459459459459</v>
      </c>
      <c r="X9" s="31">
        <v>31.0</v>
      </c>
      <c r="Y9" s="16">
        <v>0.8857142857142857</v>
      </c>
      <c r="Z9" s="16">
        <v>0.0</v>
      </c>
      <c r="AA9" s="8">
        <v>61.0</v>
      </c>
      <c r="AB9" s="16">
        <v>1.1762295081967213</v>
      </c>
      <c r="AC9" s="15">
        <v>0.0</v>
      </c>
      <c r="AD9" s="16">
        <f>IFERROR(AC9/AA9,"")</f>
        <v>0.0</v>
      </c>
      <c r="AE9" s="16">
        <v>0.8852459016393442</v>
      </c>
      <c r="AF9" s="31">
        <v>51.0</v>
      </c>
      <c r="AG9" s="16">
        <v>0.8360655737704918</v>
      </c>
      <c r="AH9" s="8">
        <v>49.0</v>
      </c>
      <c r="AI9" s="8">
        <v>0.0</v>
      </c>
      <c r="AJ9" s="16">
        <f>IFERROR(AI9/AH9,"")</f>
        <v>0.0</v>
      </c>
      <c r="AK9" s="16">
        <v>0.8954081632653061</v>
      </c>
      <c r="AL9" s="16">
        <v>0.673469387755102</v>
      </c>
      <c r="AM9" s="16">
        <v>0.40816326530612246</v>
      </c>
      <c r="AN9" s="8">
        <v>0.0</v>
      </c>
      <c r="AO9" s="22"/>
      <c r="AP9" s="28">
        <v>2989.0</v>
      </c>
      <c r="AQ9" s="26">
        <v>18392.0</v>
      </c>
      <c r="AR9" s="26">
        <v>14146.0</v>
      </c>
      <c r="AS9" s="26">
        <v>12129.0</v>
      </c>
      <c r="AT9" s="26">
        <v>14660.0</v>
      </c>
      <c r="AU9" s="26">
        <v>1466.0</v>
      </c>
      <c r="AV9" s="27">
        <v>0.8574155238229888</v>
      </c>
      <c r="AW9" s="26">
        <v>98.0</v>
      </c>
      <c r="AX9" s="26">
        <v>127.0</v>
      </c>
      <c r="AY9" s="26">
        <v>155.0</v>
      </c>
      <c r="AZ9" s="26">
        <v>203.0</v>
      </c>
      <c r="BA9" s="26">
        <v>158.0</v>
      </c>
      <c r="BB9" s="26">
        <v>149.0</v>
      </c>
      <c r="BC9" s="27">
        <v>0.13847203274215553</v>
      </c>
      <c r="BD9" s="26">
        <v>0.0</v>
      </c>
      <c r="BE9" s="26">
        <v>0.0</v>
      </c>
      <c r="BF9" s="26">
        <v>0.0</v>
      </c>
      <c r="BG9" s="26">
        <v>0.0</v>
      </c>
      <c r="BH9" s="26">
        <v>0.0</v>
      </c>
      <c r="BI9" s="26">
        <v>0.0</v>
      </c>
    </row>
    <row r="10" spans="1:61" ht="19.15" customHeight="1">
      <c r="A10" s="2"/>
      <c r="B10" s="8" t="s">
        <v>110</v>
      </c>
      <c r="C10" s="8" t="s">
        <v>103</v>
      </c>
      <c r="D10" s="15">
        <v>6987.0</v>
      </c>
      <c r="E10" s="15">
        <v>18143.0</v>
      </c>
      <c r="F10" s="15">
        <v>21696.0</v>
      </c>
      <c r="G10" s="15">
        <v>19761.0</v>
      </c>
      <c r="H10" s="15">
        <v>19760.0</v>
      </c>
      <c r="I10" s="15">
        <v>0.0</v>
      </c>
      <c r="J10" s="15">
        <v>1.0</v>
      </c>
      <c r="K10" s="15">
        <v>1935.0</v>
      </c>
      <c r="L10" s="15">
        <v>16560.0</v>
      </c>
      <c r="M10" s="16">
        <v>0.8362370943952803</v>
      </c>
      <c r="N10" s="16">
        <v>0.9107669616519174</v>
      </c>
      <c r="O10" s="16">
        <v>0.9108130530973452</v>
      </c>
      <c r="P10" s="16">
        <v>0.08918694690265487</v>
      </c>
      <c r="Q10" s="16">
        <v>0.7632743362831859</v>
      </c>
      <c r="R10" s="8">
        <v>61.0</v>
      </c>
      <c r="S10" s="8">
        <v>0.0</v>
      </c>
      <c r="T10" s="16">
        <f>IFERROR(S10/R10,"")</f>
        <v>0.0</v>
      </c>
      <c r="U10" s="8">
        <v>61.0</v>
      </c>
      <c r="V10" s="16">
        <v>0.9180327868852459</v>
      </c>
      <c r="W10" s="16">
        <v>0.9672131147540983</v>
      </c>
      <c r="X10" s="31">
        <v>50.0</v>
      </c>
      <c r="Y10" s="16">
        <v>0.819672131147541</v>
      </c>
      <c r="Z10" s="16">
        <v>0.0</v>
      </c>
      <c r="AA10" s="8">
        <v>80.0</v>
      </c>
      <c r="AB10" s="16">
        <v>0.990625</v>
      </c>
      <c r="AC10" s="15">
        <v>1.0</v>
      </c>
      <c r="AD10" s="16">
        <f>IFERROR(AC10/AA10,"")</f>
        <v>0.0125</v>
      </c>
      <c r="AE10" s="16">
        <v>0.875</v>
      </c>
      <c r="AF10" s="31">
        <v>61.0</v>
      </c>
      <c r="AG10" s="16">
        <v>0.7625</v>
      </c>
      <c r="AH10" s="8">
        <v>79.0</v>
      </c>
      <c r="AI10" s="8">
        <v>2.0</v>
      </c>
      <c r="AJ10" s="16">
        <f>IFERROR(AI10/AH10,"")</f>
        <v>0.02531645569620253</v>
      </c>
      <c r="AK10" s="16">
        <v>0.9224683544303798</v>
      </c>
      <c r="AL10" s="16">
        <v>0.7721518987341772</v>
      </c>
      <c r="AM10" s="16">
        <v>0.189873417721519</v>
      </c>
      <c r="AN10" s="8">
        <v>0.0</v>
      </c>
      <c r="AO10" s="22"/>
      <c r="AP10" s="28">
        <v>4080.0</v>
      </c>
      <c r="AQ10" s="26">
        <v>25199.0</v>
      </c>
      <c r="AR10" s="26">
        <v>19589.0</v>
      </c>
      <c r="AS10" s="26">
        <v>16768.0</v>
      </c>
      <c r="AT10" s="26">
        <v>20214.0</v>
      </c>
      <c r="AU10" s="26">
        <v>1899.0</v>
      </c>
      <c r="AV10" s="27">
        <v>0.8559906069733013</v>
      </c>
      <c r="AW10" s="26">
        <v>142.0</v>
      </c>
      <c r="AX10" s="26">
        <v>152.0</v>
      </c>
      <c r="AY10" s="26">
        <v>199.0</v>
      </c>
      <c r="AZ10" s="26">
        <v>248.0</v>
      </c>
      <c r="BA10" s="26">
        <v>187.0</v>
      </c>
      <c r="BB10" s="26">
        <v>185.0</v>
      </c>
      <c r="BC10" s="27">
        <v>0.13059505002632965</v>
      </c>
      <c r="BD10" s="26">
        <v>0.0</v>
      </c>
      <c r="BE10" s="26">
        <v>0.0</v>
      </c>
      <c r="BF10" s="26">
        <v>0.0</v>
      </c>
      <c r="BG10" s="26">
        <v>0.0</v>
      </c>
      <c r="BH10" s="26">
        <v>0.0</v>
      </c>
      <c r="BI10" s="26">
        <v>0.0</v>
      </c>
    </row>
    <row r="11" spans="1:61" ht="19.15" customHeight="1">
      <c r="A11" s="2"/>
      <c r="B11" s="8" t="s">
        <v>111</v>
      </c>
      <c r="C11" s="8" t="s">
        <v>103</v>
      </c>
      <c r="D11" s="15">
        <v>4262.0</v>
      </c>
      <c r="E11" s="15">
        <v>11265.0</v>
      </c>
      <c r="F11" s="15">
        <v>13213.0</v>
      </c>
      <c r="G11" s="15">
        <v>12060.0</v>
      </c>
      <c r="H11" s="15">
        <v>12060.0</v>
      </c>
      <c r="I11" s="15">
        <v>0.0</v>
      </c>
      <c r="J11" s="15">
        <v>0.0</v>
      </c>
      <c r="K11" s="15">
        <v>1153.0</v>
      </c>
      <c r="L11" s="15">
        <v>10112.0</v>
      </c>
      <c r="M11" s="16">
        <v>0.8525694391886778</v>
      </c>
      <c r="N11" s="16">
        <v>0.9127374555362143</v>
      </c>
      <c r="O11" s="16">
        <v>0.9127374555362143</v>
      </c>
      <c r="P11" s="16">
        <v>0.08726254446378566</v>
      </c>
      <c r="Q11" s="16">
        <v>0.7653068947248921</v>
      </c>
      <c r="R11" s="8">
        <v>24.0</v>
      </c>
      <c r="S11" s="8">
        <v>0.0</v>
      </c>
      <c r="T11" s="16">
        <f>IFERROR(S11/R11,"")</f>
        <v>0.0</v>
      </c>
      <c r="U11" s="8">
        <v>24.0</v>
      </c>
      <c r="V11" s="16">
        <v>0.8333333333333334</v>
      </c>
      <c r="W11" s="16">
        <v>1.0</v>
      </c>
      <c r="X11" s="31">
        <v>21.0</v>
      </c>
      <c r="Y11" s="16">
        <v>0.875</v>
      </c>
      <c r="Z11" s="16">
        <v>0.0</v>
      </c>
      <c r="AA11" s="8">
        <v>27.0</v>
      </c>
      <c r="AB11" s="16">
        <v>1.212962962962963</v>
      </c>
      <c r="AC11" s="15">
        <v>0.0</v>
      </c>
      <c r="AD11" s="16">
        <f>IFERROR(AC11/AA11,"")</f>
        <v>0.0</v>
      </c>
      <c r="AE11" s="16">
        <v>0.8518518518518519</v>
      </c>
      <c r="AF11" s="31">
        <v>15.0</v>
      </c>
      <c r="AG11" s="16">
        <v>0.5555555555555556</v>
      </c>
      <c r="AH11" s="8">
        <v>40.0</v>
      </c>
      <c r="AI11" s="8">
        <v>1.0</v>
      </c>
      <c r="AJ11" s="16">
        <f>IFERROR(AI11/AH11,"")</f>
        <v>0.025</v>
      </c>
      <c r="AK11" s="16">
        <v>0.9125</v>
      </c>
      <c r="AL11" s="16">
        <v>0.625</v>
      </c>
      <c r="AM11" s="16">
        <v>0.25</v>
      </c>
      <c r="AN11" s="8">
        <v>0.0</v>
      </c>
      <c r="AO11" s="22"/>
      <c r="AP11" s="28">
        <v>2524.0</v>
      </c>
      <c r="AQ11" s="26">
        <v>15526.0</v>
      </c>
      <c r="AR11" s="26">
        <v>11982.0</v>
      </c>
      <c r="AS11" s="26">
        <v>10277.0</v>
      </c>
      <c r="AT11" s="26">
        <v>12370.0</v>
      </c>
      <c r="AU11" s="26">
        <v>1143.0</v>
      </c>
      <c r="AV11" s="27">
        <v>0.8577032214989151</v>
      </c>
      <c r="AW11" s="26">
        <v>94.0</v>
      </c>
      <c r="AX11" s="26">
        <v>118.0</v>
      </c>
      <c r="AY11" s="26">
        <v>87.0</v>
      </c>
      <c r="AZ11" s="26">
        <v>98.0</v>
      </c>
      <c r="BA11" s="26">
        <v>77.0</v>
      </c>
      <c r="BB11" s="26">
        <v>76.0</v>
      </c>
      <c r="BC11" s="27">
        <v>0.0857392825896763</v>
      </c>
      <c r="BD11" s="26">
        <v>0.0</v>
      </c>
      <c r="BE11" s="26">
        <v>0.0</v>
      </c>
      <c r="BF11" s="26">
        <v>0.0</v>
      </c>
      <c r="BG11" s="26">
        <v>0.0</v>
      </c>
      <c r="BH11" s="26">
        <v>0.0</v>
      </c>
      <c r="BI11" s="26">
        <v>0.0</v>
      </c>
    </row>
    <row r="12" spans="1:61" ht="19.15" customHeight="1">
      <c r="A12" s="2"/>
      <c r="B12" s="8" t="s">
        <v>112</v>
      </c>
      <c r="C12" s="8" t="s">
        <v>103</v>
      </c>
      <c r="D12" s="15">
        <v>1189.0</v>
      </c>
      <c r="E12" s="15">
        <v>3171.0</v>
      </c>
      <c r="F12" s="15">
        <v>3786.0</v>
      </c>
      <c r="G12" s="15">
        <v>3430.0</v>
      </c>
      <c r="H12" s="15">
        <v>3430.0</v>
      </c>
      <c r="I12" s="15">
        <v>0.0</v>
      </c>
      <c r="J12" s="15">
        <v>0.0</v>
      </c>
      <c r="K12" s="15">
        <v>356.0</v>
      </c>
      <c r="L12" s="15">
        <v>3084.0</v>
      </c>
      <c r="M12" s="16">
        <v>0.8375594294770206</v>
      </c>
      <c r="N12" s="16">
        <v>0.9059693608029583</v>
      </c>
      <c r="O12" s="16">
        <v>0.9059693608029583</v>
      </c>
      <c r="P12" s="16">
        <v>0.09403063919704173</v>
      </c>
      <c r="Q12" s="16">
        <v>0.8145800316957211</v>
      </c>
      <c r="R12" s="8">
        <v>52.0</v>
      </c>
      <c r="S12" s="8">
        <v>1.0</v>
      </c>
      <c r="T12" s="16">
        <f>IFERROR(S12/R12,"")</f>
        <v>0.019230769230769232</v>
      </c>
      <c r="U12" s="8">
        <v>52.0</v>
      </c>
      <c r="V12" s="16">
        <v>0.8076923076923077</v>
      </c>
      <c r="W12" s="16">
        <v>0.9615384615384616</v>
      </c>
      <c r="X12" s="31">
        <v>44.0</v>
      </c>
      <c r="Y12" s="16">
        <v>0.8461538461538461</v>
      </c>
      <c r="Z12" s="16">
        <v>0.0</v>
      </c>
      <c r="AA12" s="8">
        <v>53.0</v>
      </c>
      <c r="AB12" s="16">
        <v>1.1981132075471699</v>
      </c>
      <c r="AC12" s="15">
        <v>1.0</v>
      </c>
      <c r="AD12" s="16">
        <f>IFERROR(AC12/AA12,"")</f>
        <v>0.018867924528301886</v>
      </c>
      <c r="AE12" s="16">
        <v>0.660377358490566</v>
      </c>
      <c r="AF12" s="31">
        <v>30.0</v>
      </c>
      <c r="AG12" s="16">
        <v>0.5660377358490566</v>
      </c>
      <c r="AH12" s="8">
        <v>53.0</v>
      </c>
      <c r="AI12" s="8">
        <v>2.0</v>
      </c>
      <c r="AJ12" s="16">
        <f>IFERROR(AI12/AH12,"")</f>
        <v>0.03773584905660377</v>
      </c>
      <c r="AK12" s="16">
        <v>0.9198113207547169</v>
      </c>
      <c r="AL12" s="16">
        <v>0.41509433962264153</v>
      </c>
      <c r="AM12" s="16">
        <v>0.24528301886792453</v>
      </c>
      <c r="AN12" s="8">
        <v>0.0</v>
      </c>
      <c r="AO12" s="22"/>
      <c r="AP12" s="28">
        <v>700.0</v>
      </c>
      <c r="AQ12" s="26">
        <v>4342.0</v>
      </c>
      <c r="AR12" s="26">
        <v>3387.0</v>
      </c>
      <c r="AS12" s="26">
        <v>3090.0</v>
      </c>
      <c r="AT12" s="26">
        <v>3479.0</v>
      </c>
      <c r="AU12" s="26">
        <v>349.0</v>
      </c>
      <c r="AV12" s="27">
        <v>0.912311780336581</v>
      </c>
      <c r="AW12" s="26">
        <v>1.0</v>
      </c>
      <c r="AX12" s="26">
        <v>1.0</v>
      </c>
      <c r="AY12" s="26">
        <v>51.0</v>
      </c>
      <c r="AZ12" s="26">
        <v>62.0</v>
      </c>
      <c r="BA12" s="26">
        <v>45.0</v>
      </c>
      <c r="BB12" s="26">
        <v>45.0</v>
      </c>
      <c r="BC12" s="27">
        <v>0.17765042979942694</v>
      </c>
      <c r="BD12" s="26">
        <v>0.0</v>
      </c>
      <c r="BE12" s="26">
        <v>0.0</v>
      </c>
      <c r="BF12" s="26">
        <v>0.0</v>
      </c>
      <c r="BG12" s="26">
        <v>0.0</v>
      </c>
      <c r="BH12" s="26">
        <v>0.0</v>
      </c>
      <c r="BI12" s="26">
        <v>0.0</v>
      </c>
    </row>
    <row r="13" spans="1:36" ht="16.5">
      <c r="A13" s="2"/>
      <c r="T13" s="4"/>
      <c r="X13" s="32"/>
      <c r="AC13" s="3"/>
      <c r="AF13" s="32"/>
      <c r="AJ13" s="4"/>
    </row>
    <row r="14" spans="1:61" ht="19.15" customHeight="1">
      <c r="A14" s="2"/>
      <c r="B14" s="8" t="s">
        <v>104</v>
      </c>
      <c r="C14" s="8" t="s">
        <v>42</v>
      </c>
      <c r="D14" s="15">
        <v>354.0</v>
      </c>
      <c r="E14" s="15">
        <v>903.0</v>
      </c>
      <c r="F14" s="15">
        <v>1042.0</v>
      </c>
      <c r="G14" s="15">
        <v>946.0</v>
      </c>
      <c r="H14" s="15">
        <v>946.0</v>
      </c>
      <c r="I14" s="15">
        <v>0.0</v>
      </c>
      <c r="J14" s="15">
        <v>0.0</v>
      </c>
      <c r="K14" s="15">
        <v>96.0</v>
      </c>
      <c r="L14" s="15">
        <v>874.0</v>
      </c>
      <c r="M14" s="16">
        <v>0.8666026871401151</v>
      </c>
      <c r="N14" s="16">
        <v>0.9078694817658349</v>
      </c>
      <c r="O14" s="16">
        <v>0.9078694817658349</v>
      </c>
      <c r="P14" s="16">
        <v>0.09213051823416507</v>
      </c>
      <c r="Q14" s="16">
        <v>0.8387715930902111</v>
      </c>
      <c r="R14" s="8">
        <v>30.0</v>
      </c>
      <c r="S14" s="8">
        <v>0.0</v>
      </c>
      <c r="T14" s="16">
        <f>IFERROR(S14/R14,"")</f>
        <v>0.0</v>
      </c>
      <c r="U14" s="8">
        <v>30.0</v>
      </c>
      <c r="V14" s="16">
        <v>0.9</v>
      </c>
      <c r="W14" s="16">
        <v>1.0</v>
      </c>
      <c r="X14" s="31">
        <v>30.0</v>
      </c>
      <c r="Y14" s="16">
        <v>1.0</v>
      </c>
      <c r="Z14" s="16">
        <v>0.0</v>
      </c>
      <c r="AA14" s="8">
        <v>30.0</v>
      </c>
      <c r="AB14" s="16">
        <v>1.1</v>
      </c>
      <c r="AC14" s="15">
        <v>0.0</v>
      </c>
      <c r="AD14" s="16">
        <f>IFERROR(AC14/AA14,"")</f>
        <v>0.0</v>
      </c>
      <c r="AE14" s="16">
        <v>0.8333333333333334</v>
      </c>
      <c r="AF14" s="31">
        <v>24.0</v>
      </c>
      <c r="AG14" s="16">
        <v>0.8</v>
      </c>
      <c r="AH14" s="8">
        <v>26.0</v>
      </c>
      <c r="AI14" s="8">
        <v>0.0</v>
      </c>
      <c r="AJ14" s="16">
        <f>IFERROR(AI14/AH14,"")</f>
        <v>0.0</v>
      </c>
      <c r="AK14" s="16">
        <v>0.9711538461538461</v>
      </c>
      <c r="AL14" s="16">
        <v>0.4230769230769231</v>
      </c>
      <c r="AM14" s="16">
        <v>0.19230769230769232</v>
      </c>
      <c r="AN14" s="8">
        <v>0.0</v>
      </c>
      <c r="AO14" s="22"/>
      <c r="AP14" s="28">
        <v>206.0</v>
      </c>
      <c r="AQ14" s="26">
        <v>1269.0</v>
      </c>
      <c r="AR14" s="26">
        <v>941.0</v>
      </c>
      <c r="AS14" s="26">
        <v>858.0</v>
      </c>
      <c r="AT14" s="26">
        <v>958.0</v>
      </c>
      <c r="AU14" s="26">
        <v>96.0</v>
      </c>
      <c r="AV14" s="27">
        <v>0.9117959617428267</v>
      </c>
      <c r="AW14" s="26">
        <v>1.0</v>
      </c>
      <c r="AX14" s="26">
        <v>1.0</v>
      </c>
      <c r="AY14" s="26">
        <v>5.0</v>
      </c>
      <c r="AZ14" s="26">
        <v>7.0</v>
      </c>
      <c r="BA14" s="26">
        <v>5.0</v>
      </c>
      <c r="BB14" s="26">
        <v>5.0</v>
      </c>
      <c r="BC14" s="27">
        <v>0.07291666666666667</v>
      </c>
      <c r="BD14" s="26">
        <v>0.0</v>
      </c>
      <c r="BE14" s="26">
        <v>0.0</v>
      </c>
      <c r="BF14" s="26">
        <v>0.0</v>
      </c>
      <c r="BG14" s="26">
        <v>0.0</v>
      </c>
      <c r="BH14" s="26">
        <v>0.0</v>
      </c>
      <c r="BI14" s="26">
        <v>0.0</v>
      </c>
    </row>
    <row r="15" spans="1:61" ht="19.15" customHeight="1">
      <c r="A15" s="2"/>
      <c r="B15" s="8"/>
      <c r="C15" s="8" t="s">
        <v>91</v>
      </c>
      <c r="D15" s="15">
        <v>968.0</v>
      </c>
      <c r="E15" s="15">
        <v>2774.0</v>
      </c>
      <c r="F15" s="15">
        <v>3115.0</v>
      </c>
      <c r="G15" s="15">
        <v>2751.0</v>
      </c>
      <c r="H15" s="15">
        <v>2751.0</v>
      </c>
      <c r="I15" s="15">
        <v>0.0</v>
      </c>
      <c r="J15" s="15">
        <v>0.0</v>
      </c>
      <c r="K15" s="15">
        <v>364.0</v>
      </c>
      <c r="L15" s="15">
        <v>2540.0</v>
      </c>
      <c r="M15" s="16">
        <v>0.8905296950240771</v>
      </c>
      <c r="N15" s="16">
        <v>0.8831460674157303</v>
      </c>
      <c r="O15" s="16">
        <v>0.8831460674157303</v>
      </c>
      <c r="P15" s="16">
        <v>0.11685393258426967</v>
      </c>
      <c r="Q15" s="16">
        <v>0.8154093097913323</v>
      </c>
      <c r="R15" s="8">
        <v>14.0</v>
      </c>
      <c r="S15" s="8">
        <v>0.0</v>
      </c>
      <c r="T15" s="16">
        <f>IFERROR(S15/R15,"")</f>
        <v>0.0</v>
      </c>
      <c r="U15" s="8">
        <v>14.0</v>
      </c>
      <c r="V15" s="16">
        <v>1.0</v>
      </c>
      <c r="W15" s="16">
        <v>1.0</v>
      </c>
      <c r="X15" s="31">
        <v>13.0</v>
      </c>
      <c r="Y15" s="16">
        <v>0.9285714285714286</v>
      </c>
      <c r="Z15" s="16">
        <v>0.0</v>
      </c>
      <c r="AA15" s="8">
        <v>15.0</v>
      </c>
      <c r="AB15" s="16">
        <v>1.1666666666666667</v>
      </c>
      <c r="AC15" s="15">
        <v>0.0</v>
      </c>
      <c r="AD15" s="16">
        <f>IFERROR(AC15/AA15,"")</f>
        <v>0.0</v>
      </c>
      <c r="AE15" s="16">
        <v>1.0</v>
      </c>
      <c r="AF15" s="31">
        <v>15.0</v>
      </c>
      <c r="AG15" s="16">
        <v>1.0</v>
      </c>
      <c r="AH15" s="8">
        <v>22.0</v>
      </c>
      <c r="AI15" s="8">
        <v>0.0</v>
      </c>
      <c r="AJ15" s="16">
        <f>IFERROR(AI15/AH15,"")</f>
        <v>0.0</v>
      </c>
      <c r="AK15" s="16">
        <v>0.9090909090909091</v>
      </c>
      <c r="AL15" s="16">
        <v>0.45454545454545453</v>
      </c>
      <c r="AM15" s="16">
        <v>0.22727272727272727</v>
      </c>
      <c r="AN15" s="8">
        <v>0.0</v>
      </c>
      <c r="AO15" s="22"/>
      <c r="AP15" s="28">
        <v>581.0</v>
      </c>
      <c r="AQ15" s="26">
        <v>3720.0</v>
      </c>
      <c r="AR15" s="26">
        <v>2741.0</v>
      </c>
      <c r="AS15" s="26">
        <v>2379.0</v>
      </c>
      <c r="AT15" s="26">
        <v>2872.0</v>
      </c>
      <c r="AU15" s="26">
        <v>363.0</v>
      </c>
      <c r="AV15" s="27">
        <v>0.8679314118934696</v>
      </c>
      <c r="AW15" s="26">
        <v>4.0</v>
      </c>
      <c r="AX15" s="26">
        <v>4.0</v>
      </c>
      <c r="AY15" s="26">
        <v>13.0</v>
      </c>
      <c r="AZ15" s="26">
        <v>13.0</v>
      </c>
      <c r="BA15" s="26">
        <v>11.0</v>
      </c>
      <c r="BB15" s="26">
        <v>11.0</v>
      </c>
      <c r="BC15" s="27">
        <v>0.03581267217630854</v>
      </c>
      <c r="BD15" s="26">
        <v>0.0</v>
      </c>
      <c r="BE15" s="26">
        <v>0.0</v>
      </c>
      <c r="BF15" s="26">
        <v>0.0</v>
      </c>
      <c r="BG15" s="26">
        <v>0.0</v>
      </c>
      <c r="BH15" s="26">
        <v>0.0</v>
      </c>
      <c r="BI15" s="26">
        <v>0.0</v>
      </c>
    </row>
    <row r="16" spans="1:61" ht="19.15" customHeight="1">
      <c r="A16" s="2"/>
      <c r="B16" s="8"/>
      <c r="C16" s="8" t="s">
        <v>88</v>
      </c>
      <c r="D16" s="15">
        <v>216.0</v>
      </c>
      <c r="E16" s="15">
        <v>563.0</v>
      </c>
      <c r="F16" s="15">
        <v>628.0</v>
      </c>
      <c r="G16" s="15">
        <v>555.0</v>
      </c>
      <c r="H16" s="15">
        <v>555.0</v>
      </c>
      <c r="I16" s="15">
        <v>0.0</v>
      </c>
      <c r="J16" s="15">
        <v>0.0</v>
      </c>
      <c r="K16" s="15">
        <v>73.0</v>
      </c>
      <c r="L16" s="15">
        <v>512.0</v>
      </c>
      <c r="M16" s="16">
        <v>0.8964968152866242</v>
      </c>
      <c r="N16" s="16">
        <v>0.8837579617834395</v>
      </c>
      <c r="O16" s="16">
        <v>0.8837579617834395</v>
      </c>
      <c r="P16" s="16">
        <v>0.11624203821656051</v>
      </c>
      <c r="Q16" s="16">
        <v>0.8152866242038217</v>
      </c>
      <c r="R16" s="8">
        <v>18.0</v>
      </c>
      <c r="S16" s="8">
        <v>0.0</v>
      </c>
      <c r="T16" s="16">
        <f>IFERROR(S16/R16,"")</f>
        <v>0.0</v>
      </c>
      <c r="U16" s="8">
        <v>18.0</v>
      </c>
      <c r="V16" s="16">
        <v>0.8333333333333334</v>
      </c>
      <c r="W16" s="16">
        <v>1.0</v>
      </c>
      <c r="X16" s="31">
        <v>18.0</v>
      </c>
      <c r="Y16" s="16">
        <v>1.0</v>
      </c>
      <c r="Z16" s="16">
        <v>0.0</v>
      </c>
      <c r="AA16" s="8">
        <v>10.0</v>
      </c>
      <c r="AB16" s="16">
        <v>1.2</v>
      </c>
      <c r="AC16" s="15">
        <v>0.0</v>
      </c>
      <c r="AD16" s="16">
        <f>IFERROR(AC16/AA16,"")</f>
        <v>0.0</v>
      </c>
      <c r="AE16" s="16">
        <v>0.9</v>
      </c>
      <c r="AF16" s="31">
        <v>6.0</v>
      </c>
      <c r="AG16" s="16">
        <v>0.6</v>
      </c>
      <c r="AH16" s="8">
        <v>9.0</v>
      </c>
      <c r="AI16" s="8">
        <v>0.0</v>
      </c>
      <c r="AJ16" s="16">
        <f>IFERROR(AI16/AH16,"")</f>
        <v>0.0</v>
      </c>
      <c r="AK16" s="16">
        <v>0.9722222222222222</v>
      </c>
      <c r="AL16" s="16">
        <v>0.7777777777777778</v>
      </c>
      <c r="AM16" s="16">
        <v>0.1111111111111111</v>
      </c>
      <c r="AN16" s="8">
        <v>0.0</v>
      </c>
      <c r="AO16" s="22"/>
      <c r="AP16" s="28">
        <v>127.0</v>
      </c>
      <c r="AQ16" s="26">
        <v>759.0</v>
      </c>
      <c r="AR16" s="26">
        <v>554.0</v>
      </c>
      <c r="AS16" s="26">
        <v>503.0</v>
      </c>
      <c r="AT16" s="26">
        <v>574.0</v>
      </c>
      <c r="AU16" s="26">
        <v>73.0</v>
      </c>
      <c r="AV16" s="27">
        <v>0.907942238267148</v>
      </c>
      <c r="AW16" s="26">
        <v>2.0</v>
      </c>
      <c r="AX16" s="26">
        <v>2.0</v>
      </c>
      <c r="AY16" s="26">
        <v>1.0</v>
      </c>
      <c r="AZ16" s="26">
        <v>1.0</v>
      </c>
      <c r="BA16" s="26">
        <v>1.0</v>
      </c>
      <c r="BB16" s="26">
        <v>1.0</v>
      </c>
      <c r="BC16" s="27">
        <v>0.0136986301369863</v>
      </c>
      <c r="BD16" s="26">
        <v>0.0</v>
      </c>
      <c r="BE16" s="26">
        <v>0.0</v>
      </c>
      <c r="BF16" s="26">
        <v>0.0</v>
      </c>
      <c r="BG16" s="26">
        <v>0.0</v>
      </c>
      <c r="BH16" s="26">
        <v>0.0</v>
      </c>
      <c r="BI16" s="26">
        <v>0.0</v>
      </c>
    </row>
    <row r="17" spans="1:61" ht="19.15" customHeight="1">
      <c r="A17" s="2"/>
      <c r="B17" s="8"/>
      <c r="C17" s="8" t="s">
        <v>113</v>
      </c>
      <c r="D17" s="15">
        <v>79.0</v>
      </c>
      <c r="E17" s="15">
        <v>197.0</v>
      </c>
      <c r="F17" s="15">
        <v>231.0</v>
      </c>
      <c r="G17" s="15">
        <v>197.0</v>
      </c>
      <c r="H17" s="15">
        <v>197.0</v>
      </c>
      <c r="I17" s="15">
        <v>0.0</v>
      </c>
      <c r="J17" s="15">
        <v>0.0</v>
      </c>
      <c r="K17" s="15">
        <v>34.0</v>
      </c>
      <c r="L17" s="15">
        <v>165.0</v>
      </c>
      <c r="M17" s="16">
        <v>0.8528138528138528</v>
      </c>
      <c r="N17" s="16">
        <v>0.8528138528138528</v>
      </c>
      <c r="O17" s="16">
        <v>0.8528138528138528</v>
      </c>
      <c r="P17" s="16">
        <v>0.1471861471861472</v>
      </c>
      <c r="Q17" s="16">
        <v>0.7142857142857143</v>
      </c>
      <c r="R17" s="8">
        <v>2.0</v>
      </c>
      <c r="S17" s="8">
        <v>0.0</v>
      </c>
      <c r="T17" s="16">
        <f>IFERROR(S17/R17,"")</f>
        <v>0.0</v>
      </c>
      <c r="U17" s="8">
        <v>2.0</v>
      </c>
      <c r="V17" s="16">
        <v>1.0</v>
      </c>
      <c r="W17" s="16">
        <v>0.5</v>
      </c>
      <c r="X17" s="31">
        <v>1.0</v>
      </c>
      <c r="Y17" s="16">
        <v>0.5</v>
      </c>
      <c r="Z17" s="16">
        <v>0.0</v>
      </c>
      <c r="AA17" s="8">
        <v>1.0</v>
      </c>
      <c r="AB17" s="16">
        <v>1.0</v>
      </c>
      <c r="AC17" s="15">
        <v>0.0</v>
      </c>
      <c r="AD17" s="16">
        <f>IFERROR(AC17/AA17,"")</f>
        <v>0.0</v>
      </c>
      <c r="AE17" s="16">
        <v>1.0</v>
      </c>
      <c r="AF17" s="31">
        <v>1.0</v>
      </c>
      <c r="AG17" s="16">
        <v>1.0</v>
      </c>
      <c r="AH17" s="8">
        <v>3.0</v>
      </c>
      <c r="AI17" s="8">
        <v>0.0</v>
      </c>
      <c r="AJ17" s="16">
        <f>IFERROR(AI17/AH17,"")</f>
        <v>0.0</v>
      </c>
      <c r="AK17" s="16">
        <v>0.9583333333333334</v>
      </c>
      <c r="AL17" s="16">
        <v>1.0</v>
      </c>
      <c r="AM17" s="16">
        <v>0.6666666666666666</v>
      </c>
      <c r="AN17" s="8">
        <v>0.0</v>
      </c>
      <c r="AO17" s="22"/>
      <c r="AP17" s="28">
        <v>45.0</v>
      </c>
      <c r="AQ17" s="26">
        <v>282.0</v>
      </c>
      <c r="AR17" s="26">
        <v>192.0</v>
      </c>
      <c r="AS17" s="26">
        <v>162.0</v>
      </c>
      <c r="AT17" s="26">
        <v>208.0</v>
      </c>
      <c r="AU17" s="26">
        <v>34.0</v>
      </c>
      <c r="AV17" s="27">
        <v>0.84375</v>
      </c>
      <c r="AW17" s="26">
        <v>0.0</v>
      </c>
      <c r="AX17" s="26">
        <v>0.0</v>
      </c>
      <c r="AY17" s="26">
        <v>0.0</v>
      </c>
      <c r="AZ17" s="26">
        <v>0.0</v>
      </c>
      <c r="BA17" s="26">
        <v>0.0</v>
      </c>
      <c r="BB17" s="26">
        <v>0.0</v>
      </c>
      <c r="BC17" s="27">
        <v>0.0</v>
      </c>
      <c r="BD17" s="26">
        <v>0.0</v>
      </c>
      <c r="BE17" s="26">
        <v>0.0</v>
      </c>
      <c r="BF17" s="26">
        <v>0.0</v>
      </c>
      <c r="BG17" s="26">
        <v>0.0</v>
      </c>
      <c r="BH17" s="26">
        <v>0.0</v>
      </c>
      <c r="BI17" s="26">
        <v>0.0</v>
      </c>
    </row>
    <row r="18" spans="1:61" ht="19.15" customHeight="1">
      <c r="A18" s="2"/>
      <c r="B18" s="8"/>
      <c r="C18" s="8" t="s">
        <v>114</v>
      </c>
      <c r="D18" s="15">
        <v>409.0</v>
      </c>
      <c r="E18" s="15">
        <v>997.0</v>
      </c>
      <c r="F18" s="15">
        <v>1173.0</v>
      </c>
      <c r="G18" s="15">
        <v>1035.0</v>
      </c>
      <c r="H18" s="15">
        <v>1035.0</v>
      </c>
      <c r="I18" s="15">
        <v>0.0</v>
      </c>
      <c r="J18" s="15">
        <v>0.0</v>
      </c>
      <c r="K18" s="15">
        <v>138.0</v>
      </c>
      <c r="L18" s="15">
        <v>926.0</v>
      </c>
      <c r="M18" s="16">
        <v>0.8499573742540495</v>
      </c>
      <c r="N18" s="16">
        <v>0.8823529411764706</v>
      </c>
      <c r="O18" s="16">
        <v>0.8823529411764706</v>
      </c>
      <c r="P18" s="16">
        <v>0.11764705882352941</v>
      </c>
      <c r="Q18" s="16">
        <v>0.7894288150042625</v>
      </c>
      <c r="R18" s="8">
        <v>31.0</v>
      </c>
      <c r="S18" s="8">
        <v>0.0</v>
      </c>
      <c r="T18" s="16">
        <f>IFERROR(S18/R18,"")</f>
        <v>0.0</v>
      </c>
      <c r="U18" s="8">
        <v>30.0</v>
      </c>
      <c r="V18" s="16">
        <v>0.7741935483870968</v>
      </c>
      <c r="W18" s="16">
        <v>0.967741935483871</v>
      </c>
      <c r="X18" s="31">
        <v>28.0</v>
      </c>
      <c r="Y18" s="16">
        <v>0.9333333333333333</v>
      </c>
      <c r="Z18" s="16">
        <v>0.0</v>
      </c>
      <c r="AA18" s="8">
        <v>22.0</v>
      </c>
      <c r="AB18" s="16">
        <v>0.9886363636363636</v>
      </c>
      <c r="AC18" s="15">
        <v>0.0</v>
      </c>
      <c r="AD18" s="16">
        <f>IFERROR(AC18/AA18,"")</f>
        <v>0.0</v>
      </c>
      <c r="AE18" s="16">
        <v>0.9090909090909091</v>
      </c>
      <c r="AF18" s="31">
        <v>19.0</v>
      </c>
      <c r="AG18" s="16">
        <v>0.8636363636363636</v>
      </c>
      <c r="AH18" s="8">
        <v>19.0</v>
      </c>
      <c r="AI18" s="8">
        <v>0.0</v>
      </c>
      <c r="AJ18" s="16">
        <f>IFERROR(AI18/AH18,"")</f>
        <v>0.0</v>
      </c>
      <c r="AK18" s="16">
        <v>0.9539473684210527</v>
      </c>
      <c r="AL18" s="16">
        <v>0.5789473684210527</v>
      </c>
      <c r="AM18" s="16">
        <v>0.21052631578947367</v>
      </c>
      <c r="AN18" s="8">
        <v>0.0</v>
      </c>
      <c r="AO18" s="22"/>
      <c r="AP18" s="28">
        <v>232.0</v>
      </c>
      <c r="AQ18" s="26">
        <v>1421.0</v>
      </c>
      <c r="AR18" s="26">
        <v>1029.0</v>
      </c>
      <c r="AS18" s="26">
        <v>893.0</v>
      </c>
      <c r="AT18" s="26">
        <v>1058.0</v>
      </c>
      <c r="AU18" s="26">
        <v>138.0</v>
      </c>
      <c r="AV18" s="27">
        <v>0.8678328474246841</v>
      </c>
      <c r="AW18" s="26">
        <v>1.0</v>
      </c>
      <c r="AX18" s="26">
        <v>1.0</v>
      </c>
      <c r="AY18" s="26">
        <v>8.0</v>
      </c>
      <c r="AZ18" s="26">
        <v>8.0</v>
      </c>
      <c r="BA18" s="26">
        <v>6.0</v>
      </c>
      <c r="BB18" s="26">
        <v>6.0</v>
      </c>
      <c r="BC18" s="27">
        <v>0.057971014492753624</v>
      </c>
      <c r="BD18" s="26">
        <v>0.0</v>
      </c>
      <c r="BE18" s="26">
        <v>0.0</v>
      </c>
      <c r="BF18" s="26">
        <v>0.0</v>
      </c>
      <c r="BG18" s="26">
        <v>0.0</v>
      </c>
      <c r="BH18" s="26">
        <v>0.0</v>
      </c>
      <c r="BI18" s="26">
        <v>0.0</v>
      </c>
    </row>
    <row r="19" spans="1:61" ht="19.15" customHeight="1">
      <c r="A19" s="2"/>
      <c r="B19" s="8" t="s">
        <v>105</v>
      </c>
      <c r="C19" s="8" t="s">
        <v>115</v>
      </c>
      <c r="D19" s="15">
        <v>423.0</v>
      </c>
      <c r="E19" s="15">
        <v>1102.0</v>
      </c>
      <c r="F19" s="15">
        <v>1364.0</v>
      </c>
      <c r="G19" s="15">
        <v>1225.0</v>
      </c>
      <c r="H19" s="15">
        <v>1225.0</v>
      </c>
      <c r="I19" s="15">
        <v>0.0</v>
      </c>
      <c r="J19" s="15">
        <v>0.0</v>
      </c>
      <c r="K19" s="15">
        <v>139.0</v>
      </c>
      <c r="L19" s="15">
        <v>1019.0</v>
      </c>
      <c r="M19" s="16">
        <v>0.8079178885630498</v>
      </c>
      <c r="N19" s="16">
        <v>0.8980938416422287</v>
      </c>
      <c r="O19" s="16">
        <v>0.8980938416422287</v>
      </c>
      <c r="P19" s="16">
        <v>0.10190615835777127</v>
      </c>
      <c r="Q19" s="16">
        <v>0.7470674486803519</v>
      </c>
      <c r="R19" s="8">
        <v>10.0</v>
      </c>
      <c r="S19" s="8">
        <v>0.0</v>
      </c>
      <c r="T19" s="16">
        <f>IFERROR(S19/R19,"")</f>
        <v>0.0</v>
      </c>
      <c r="U19" s="8">
        <v>10.0</v>
      </c>
      <c r="V19" s="16">
        <v>0.8</v>
      </c>
      <c r="W19" s="16">
        <v>1.0</v>
      </c>
      <c r="X19" s="31">
        <v>10.0</v>
      </c>
      <c r="Y19" s="16">
        <v>1.0</v>
      </c>
      <c r="Z19" s="16">
        <v>0.0</v>
      </c>
      <c r="AA19" s="8">
        <v>12.0</v>
      </c>
      <c r="AB19" s="16">
        <v>1.3125</v>
      </c>
      <c r="AC19" s="15">
        <v>1.0</v>
      </c>
      <c r="AD19" s="16">
        <f>IFERROR(AC19/AA19,"")</f>
        <v>0.08333333333333333</v>
      </c>
      <c r="AE19" s="16">
        <v>0.9166666666666666</v>
      </c>
      <c r="AF19" s="31">
        <v>11.0</v>
      </c>
      <c r="AG19" s="16">
        <v>0.9166666666666666</v>
      </c>
      <c r="AH19" s="8">
        <v>16.0</v>
      </c>
      <c r="AI19" s="8">
        <v>1.0</v>
      </c>
      <c r="AJ19" s="16">
        <f>IFERROR(AI19/AH19,"")</f>
        <v>0.0625</v>
      </c>
      <c r="AK19" s="16">
        <v>0.9140625</v>
      </c>
      <c r="AL19" s="16">
        <v>0.75</v>
      </c>
      <c r="AM19" s="16">
        <v>0.1875</v>
      </c>
      <c r="AN19" s="8">
        <v>0.0</v>
      </c>
      <c r="AO19" s="22"/>
      <c r="AP19" s="28">
        <v>257.0</v>
      </c>
      <c r="AQ19" s="26">
        <v>1605.0</v>
      </c>
      <c r="AR19" s="26">
        <v>1206.0</v>
      </c>
      <c r="AS19" s="26">
        <v>1067.0</v>
      </c>
      <c r="AT19" s="26">
        <v>1276.0</v>
      </c>
      <c r="AU19" s="26">
        <v>138.0</v>
      </c>
      <c r="AV19" s="27">
        <v>0.884742951907131</v>
      </c>
      <c r="AW19" s="26">
        <v>5.0</v>
      </c>
      <c r="AX19" s="26">
        <v>6.0</v>
      </c>
      <c r="AY19" s="26">
        <v>19.0</v>
      </c>
      <c r="AZ19" s="26">
        <v>23.0</v>
      </c>
      <c r="BA19" s="26">
        <v>20.0</v>
      </c>
      <c r="BB19" s="26">
        <v>19.0</v>
      </c>
      <c r="BC19" s="27">
        <v>0.16666666666666666</v>
      </c>
      <c r="BD19" s="26">
        <v>0.0</v>
      </c>
      <c r="BE19" s="26">
        <v>0.0</v>
      </c>
      <c r="BF19" s="26">
        <v>0.0</v>
      </c>
      <c r="BG19" s="26">
        <v>0.0</v>
      </c>
      <c r="BH19" s="26">
        <v>0.0</v>
      </c>
      <c r="BI19" s="26">
        <v>0.0</v>
      </c>
    </row>
    <row r="20" spans="1:61" ht="19.15" customHeight="1">
      <c r="A20" s="2"/>
      <c r="B20" s="8"/>
      <c r="C20" s="8" t="s">
        <v>116</v>
      </c>
      <c r="D20" s="15">
        <v>125.0</v>
      </c>
      <c r="E20" s="15">
        <v>313.0</v>
      </c>
      <c r="F20" s="15">
        <v>378.0</v>
      </c>
      <c r="G20" s="15">
        <v>341.0</v>
      </c>
      <c r="H20" s="15">
        <v>341.0</v>
      </c>
      <c r="I20" s="15">
        <v>0.0</v>
      </c>
      <c r="J20" s="15">
        <v>0.0</v>
      </c>
      <c r="K20" s="15">
        <v>37.0</v>
      </c>
      <c r="L20" s="15">
        <v>300.0</v>
      </c>
      <c r="M20" s="16">
        <v>0.828042328042328</v>
      </c>
      <c r="N20" s="16">
        <v>0.9021164021164021</v>
      </c>
      <c r="O20" s="16">
        <v>0.9021164021164021</v>
      </c>
      <c r="P20" s="16">
        <v>0.09788359788359788</v>
      </c>
      <c r="Q20" s="16">
        <v>0.7936507936507936</v>
      </c>
      <c r="R20" s="8">
        <v>2.0</v>
      </c>
      <c r="S20" s="8">
        <v>0.0</v>
      </c>
      <c r="T20" s="16">
        <f>IFERROR(S20/R20,"")</f>
        <v>0.0</v>
      </c>
      <c r="U20" s="8">
        <v>2.0</v>
      </c>
      <c r="V20" s="16">
        <v>1.0</v>
      </c>
      <c r="W20" s="16">
        <v>1.0</v>
      </c>
      <c r="X20" s="31">
        <v>2.0</v>
      </c>
      <c r="Y20" s="16">
        <v>1.0</v>
      </c>
      <c r="Z20" s="16">
        <v>0.0</v>
      </c>
      <c r="AA20" s="8">
        <v>1.0</v>
      </c>
      <c r="AB20" s="16">
        <v>1.75</v>
      </c>
      <c r="AC20" s="15">
        <v>0.0</v>
      </c>
      <c r="AD20" s="16">
        <f>IFERROR(AC20/AA20,"")</f>
        <v>0.0</v>
      </c>
      <c r="AE20" s="16">
        <v>1.0</v>
      </c>
      <c r="AF20" s="31">
        <v>1.0</v>
      </c>
      <c r="AG20" s="16">
        <v>1.0</v>
      </c>
      <c r="AH20" s="8">
        <v>2.0</v>
      </c>
      <c r="AI20" s="8">
        <v>0.0</v>
      </c>
      <c r="AJ20" s="16">
        <f>IFERROR(AI20/AH20,"")</f>
        <v>0.0</v>
      </c>
      <c r="AK20" s="16">
        <v>1.0</v>
      </c>
      <c r="AL20" s="16">
        <v>1.0</v>
      </c>
      <c r="AM20" s="16">
        <v>0.5</v>
      </c>
      <c r="AN20" s="8">
        <v>0.0</v>
      </c>
      <c r="AO20" s="22"/>
      <c r="AP20" s="28">
        <v>72.0</v>
      </c>
      <c r="AQ20" s="26">
        <v>444.0</v>
      </c>
      <c r="AR20" s="26">
        <v>336.0</v>
      </c>
      <c r="AS20" s="26">
        <v>283.0</v>
      </c>
      <c r="AT20" s="26">
        <v>345.0</v>
      </c>
      <c r="AU20" s="26">
        <v>37.0</v>
      </c>
      <c r="AV20" s="27">
        <v>0.8422619047619048</v>
      </c>
      <c r="AW20" s="26">
        <v>0.0</v>
      </c>
      <c r="AX20" s="26">
        <v>0.0</v>
      </c>
      <c r="AY20" s="26">
        <v>7.0</v>
      </c>
      <c r="AZ20" s="26">
        <v>7.0</v>
      </c>
      <c r="BA20" s="26">
        <v>6.0</v>
      </c>
      <c r="BB20" s="26">
        <v>6.0</v>
      </c>
      <c r="BC20" s="27">
        <v>0.1891891891891892</v>
      </c>
      <c r="BD20" s="26">
        <v>0.0</v>
      </c>
      <c r="BE20" s="26">
        <v>0.0</v>
      </c>
      <c r="BF20" s="26">
        <v>0.0</v>
      </c>
      <c r="BG20" s="26">
        <v>0.0</v>
      </c>
      <c r="BH20" s="26">
        <v>0.0</v>
      </c>
      <c r="BI20" s="26">
        <v>0.0</v>
      </c>
    </row>
    <row r="21" spans="1:61" ht="19.15" customHeight="1">
      <c r="A21" s="2"/>
      <c r="B21" s="8"/>
      <c r="C21" s="8" t="s">
        <v>117</v>
      </c>
      <c r="D21" s="15">
        <v>508.0</v>
      </c>
      <c r="E21" s="15">
        <v>1401.0</v>
      </c>
      <c r="F21" s="15">
        <v>1647.0</v>
      </c>
      <c r="G21" s="15">
        <v>1496.0</v>
      </c>
      <c r="H21" s="15">
        <v>1496.0</v>
      </c>
      <c r="I21" s="15">
        <v>0.0</v>
      </c>
      <c r="J21" s="15">
        <v>0.0</v>
      </c>
      <c r="K21" s="15">
        <v>151.0</v>
      </c>
      <c r="L21" s="15">
        <v>1277.0</v>
      </c>
      <c r="M21" s="16">
        <v>0.8506375227686703</v>
      </c>
      <c r="N21" s="16">
        <v>0.9083181542197936</v>
      </c>
      <c r="O21" s="16">
        <v>0.9083181542197936</v>
      </c>
      <c r="P21" s="16">
        <v>0.09168184578020644</v>
      </c>
      <c r="Q21" s="16">
        <v>0.7753491196114147</v>
      </c>
      <c r="R21" s="8">
        <v>12.0</v>
      </c>
      <c r="S21" s="8">
        <v>0.0</v>
      </c>
      <c r="T21" s="16">
        <f>IFERROR(S21/R21,"")</f>
        <v>0.0</v>
      </c>
      <c r="U21" s="8">
        <v>11.0</v>
      </c>
      <c r="V21" s="16">
        <v>0.75</v>
      </c>
      <c r="W21" s="16">
        <v>1.0</v>
      </c>
      <c r="X21" s="31">
        <v>11.0</v>
      </c>
      <c r="Y21" s="16">
        <v>1.0</v>
      </c>
      <c r="Z21" s="16">
        <v>0.0</v>
      </c>
      <c r="AA21" s="8">
        <v>11.0</v>
      </c>
      <c r="AB21" s="16">
        <v>1.2045454545454546</v>
      </c>
      <c r="AC21" s="15">
        <v>0.0</v>
      </c>
      <c r="AD21" s="16">
        <f>IFERROR(AC21/AA21,"")</f>
        <v>0.0</v>
      </c>
      <c r="AE21" s="16">
        <v>1.0</v>
      </c>
      <c r="AF21" s="31">
        <v>11.0</v>
      </c>
      <c r="AG21" s="16">
        <v>1.0</v>
      </c>
      <c r="AH21" s="8">
        <v>15.0</v>
      </c>
      <c r="AI21" s="8">
        <v>1.0</v>
      </c>
      <c r="AJ21" s="16">
        <f>IFERROR(AI21/AH21,"")</f>
        <v>0.06666666666666667</v>
      </c>
      <c r="AK21" s="16">
        <v>0.9333333333333333</v>
      </c>
      <c r="AL21" s="16">
        <v>0.6</v>
      </c>
      <c r="AM21" s="16">
        <v>0.4</v>
      </c>
      <c r="AN21" s="8">
        <v>0.0</v>
      </c>
      <c r="AO21" s="22"/>
      <c r="AP21" s="28">
        <v>311.0</v>
      </c>
      <c r="AQ21" s="26">
        <v>1933.0</v>
      </c>
      <c r="AR21" s="26">
        <v>1473.0</v>
      </c>
      <c r="AS21" s="26">
        <v>1274.0</v>
      </c>
      <c r="AT21" s="26">
        <v>1521.0</v>
      </c>
      <c r="AU21" s="26">
        <v>148.0</v>
      </c>
      <c r="AV21" s="27">
        <v>0.8649015614392397</v>
      </c>
      <c r="AW21" s="26">
        <v>7.0</v>
      </c>
      <c r="AX21" s="26">
        <v>7.0</v>
      </c>
      <c r="AY21" s="26">
        <v>25.0</v>
      </c>
      <c r="AZ21" s="26">
        <v>32.0</v>
      </c>
      <c r="BA21" s="26">
        <v>24.0</v>
      </c>
      <c r="BB21" s="26">
        <v>24.0</v>
      </c>
      <c r="BC21" s="27">
        <v>0.21621621621621623</v>
      </c>
      <c r="BD21" s="26">
        <v>0.0</v>
      </c>
      <c r="BE21" s="26">
        <v>0.0</v>
      </c>
      <c r="BF21" s="26">
        <v>0.0</v>
      </c>
      <c r="BG21" s="26">
        <v>0.0</v>
      </c>
      <c r="BH21" s="26">
        <v>0.0</v>
      </c>
      <c r="BI21" s="26">
        <v>0.0</v>
      </c>
    </row>
    <row r="22" spans="1:61" ht="19.15" customHeight="1">
      <c r="A22" s="2"/>
      <c r="B22" s="8"/>
      <c r="C22" s="8" t="s">
        <v>118</v>
      </c>
      <c r="D22" s="15">
        <v>291.0</v>
      </c>
      <c r="E22" s="15">
        <v>762.0</v>
      </c>
      <c r="F22" s="15">
        <v>952.0</v>
      </c>
      <c r="G22" s="15">
        <v>851.0</v>
      </c>
      <c r="H22" s="15">
        <v>850.0</v>
      </c>
      <c r="I22" s="15">
        <v>0.0</v>
      </c>
      <c r="J22" s="15">
        <v>1.0</v>
      </c>
      <c r="K22" s="15">
        <v>101.0</v>
      </c>
      <c r="L22" s="15">
        <v>703.0</v>
      </c>
      <c r="M22" s="16">
        <v>0.8004201680672269</v>
      </c>
      <c r="N22" s="16">
        <v>0.8928571428571429</v>
      </c>
      <c r="O22" s="16">
        <v>0.8939075630252101</v>
      </c>
      <c r="P22" s="16">
        <v>0.10609243697478991</v>
      </c>
      <c r="Q22" s="16">
        <v>0.7384453781512605</v>
      </c>
      <c r="R22" s="8">
        <v>2.0</v>
      </c>
      <c r="S22" s="8">
        <v>0.0</v>
      </c>
      <c r="T22" s="16">
        <f>IFERROR(S22/R22,"")</f>
        <v>0.0</v>
      </c>
      <c r="U22" s="8">
        <v>2.0</v>
      </c>
      <c r="V22" s="16">
        <v>1.0</v>
      </c>
      <c r="W22" s="16">
        <v>1.0</v>
      </c>
      <c r="X22" s="31">
        <v>2.0</v>
      </c>
      <c r="Y22" s="16">
        <v>1.0</v>
      </c>
      <c r="Z22" s="16">
        <v>0.0</v>
      </c>
      <c r="AA22" s="8">
        <v>2.0</v>
      </c>
      <c r="AB22" s="16">
        <v>1.5</v>
      </c>
      <c r="AC22" s="15">
        <v>0.0</v>
      </c>
      <c r="AD22" s="16">
        <f>IFERROR(AC22/AA22,"")</f>
        <v>0.0</v>
      </c>
      <c r="AE22" s="16">
        <v>1.0</v>
      </c>
      <c r="AF22" s="31">
        <v>2.0</v>
      </c>
      <c r="AG22" s="16">
        <v>1.0</v>
      </c>
      <c r="AH22" s="8">
        <v>9.0</v>
      </c>
      <c r="AI22" s="8">
        <v>0.0</v>
      </c>
      <c r="AJ22" s="16">
        <f>IFERROR(AI22/AH22,"")</f>
        <v>0.0</v>
      </c>
      <c r="AK22" s="16">
        <v>0.875</v>
      </c>
      <c r="AL22" s="16">
        <v>0.8888888888888888</v>
      </c>
      <c r="AM22" s="16">
        <v>0.1111111111111111</v>
      </c>
      <c r="AN22" s="8">
        <v>0.0</v>
      </c>
      <c r="AO22" s="22"/>
      <c r="AP22" s="28">
        <v>179.0</v>
      </c>
      <c r="AQ22" s="26">
        <v>1116.0</v>
      </c>
      <c r="AR22" s="26">
        <v>832.0</v>
      </c>
      <c r="AS22" s="26">
        <v>734.0</v>
      </c>
      <c r="AT22" s="26">
        <v>878.0</v>
      </c>
      <c r="AU22" s="26">
        <v>98.0</v>
      </c>
      <c r="AV22" s="27">
        <v>0.8822115384615384</v>
      </c>
      <c r="AW22" s="26">
        <v>2.0</v>
      </c>
      <c r="AX22" s="26">
        <v>2.0</v>
      </c>
      <c r="AY22" s="26">
        <v>22.0</v>
      </c>
      <c r="AZ22" s="26">
        <v>26.0</v>
      </c>
      <c r="BA22" s="26">
        <v>18.0</v>
      </c>
      <c r="BB22" s="26">
        <v>18.0</v>
      </c>
      <c r="BC22" s="27">
        <v>0.2653061224489796</v>
      </c>
      <c r="BD22" s="26">
        <v>0.0</v>
      </c>
      <c r="BE22" s="26">
        <v>0.0</v>
      </c>
      <c r="BF22" s="26">
        <v>0.0</v>
      </c>
      <c r="BG22" s="26">
        <v>0.0</v>
      </c>
      <c r="BH22" s="26">
        <v>0.0</v>
      </c>
      <c r="BI22" s="26">
        <v>0.0</v>
      </c>
    </row>
    <row r="23" spans="1:61" ht="19.15" customHeight="1">
      <c r="A23" s="2"/>
      <c r="B23" s="8"/>
      <c r="C23" s="8" t="s">
        <v>119</v>
      </c>
      <c r="D23" s="15">
        <v>479.0</v>
      </c>
      <c r="E23" s="15">
        <v>1338.0</v>
      </c>
      <c r="F23" s="15">
        <v>1572.0</v>
      </c>
      <c r="G23" s="15">
        <v>1444.0</v>
      </c>
      <c r="H23" s="15">
        <v>1444.0</v>
      </c>
      <c r="I23" s="15">
        <v>0.0</v>
      </c>
      <c r="J23" s="15">
        <v>0.0</v>
      </c>
      <c r="K23" s="15">
        <v>128.0</v>
      </c>
      <c r="L23" s="15">
        <v>1247.0</v>
      </c>
      <c r="M23" s="16">
        <v>0.851145038167939</v>
      </c>
      <c r="N23" s="16">
        <v>0.9185750636132316</v>
      </c>
      <c r="O23" s="16">
        <v>0.9185750636132316</v>
      </c>
      <c r="P23" s="16">
        <v>0.08142493638676845</v>
      </c>
      <c r="Q23" s="16">
        <v>0.7932569974554707</v>
      </c>
      <c r="R23" s="8">
        <v>9.0</v>
      </c>
      <c r="S23" s="8">
        <v>1.0</v>
      </c>
      <c r="T23" s="16">
        <f>IFERROR(S23/R23,"")</f>
        <v>0.1111111111111111</v>
      </c>
      <c r="U23" s="8">
        <v>9.0</v>
      </c>
      <c r="V23" s="16">
        <v>1.0</v>
      </c>
      <c r="W23" s="16">
        <v>0.8888888888888888</v>
      </c>
      <c r="X23" s="31">
        <v>8.0</v>
      </c>
      <c r="Y23" s="16">
        <v>0.8888888888888888</v>
      </c>
      <c r="Z23" s="16">
        <v>0.0</v>
      </c>
      <c r="AA23" s="8">
        <v>8.0</v>
      </c>
      <c r="AB23" s="16">
        <v>1.03125</v>
      </c>
      <c r="AC23" s="15">
        <v>0.0</v>
      </c>
      <c r="AD23" s="16">
        <f>IFERROR(AC23/AA23,"")</f>
        <v>0.0</v>
      </c>
      <c r="AE23" s="16">
        <v>1.0</v>
      </c>
      <c r="AF23" s="31">
        <v>8.0</v>
      </c>
      <c r="AG23" s="16">
        <v>1.0</v>
      </c>
      <c r="AH23" s="8">
        <v>8.0</v>
      </c>
      <c r="AI23" s="8">
        <v>0.0</v>
      </c>
      <c r="AJ23" s="16">
        <f>IFERROR(AI23/AH23,"")</f>
        <v>0.0</v>
      </c>
      <c r="AK23" s="16">
        <v>0.953125</v>
      </c>
      <c r="AL23" s="16">
        <v>0.375</v>
      </c>
      <c r="AM23" s="16">
        <v>0.25</v>
      </c>
      <c r="AN23" s="8">
        <v>0.0</v>
      </c>
      <c r="AO23" s="22"/>
      <c r="AP23" s="28">
        <v>296.0</v>
      </c>
      <c r="AQ23" s="26">
        <v>1852.0</v>
      </c>
      <c r="AR23" s="26">
        <v>1425.0</v>
      </c>
      <c r="AS23" s="26">
        <v>1268.0</v>
      </c>
      <c r="AT23" s="26">
        <v>1465.0</v>
      </c>
      <c r="AU23" s="26">
        <v>126.0</v>
      </c>
      <c r="AV23" s="27">
        <v>0.8898245614035087</v>
      </c>
      <c r="AW23" s="26">
        <v>3.0</v>
      </c>
      <c r="AX23" s="26">
        <v>3.0</v>
      </c>
      <c r="AY23" s="26">
        <v>27.0</v>
      </c>
      <c r="AZ23" s="26">
        <v>28.0</v>
      </c>
      <c r="BA23" s="26">
        <v>21.0</v>
      </c>
      <c r="BB23" s="26">
        <v>19.0</v>
      </c>
      <c r="BC23" s="27">
        <v>0.2222222222222222</v>
      </c>
      <c r="BD23" s="26">
        <v>0.0</v>
      </c>
      <c r="BE23" s="26">
        <v>0.0</v>
      </c>
      <c r="BF23" s="26">
        <v>0.0</v>
      </c>
      <c r="BG23" s="26">
        <v>0.0</v>
      </c>
      <c r="BH23" s="26">
        <v>0.0</v>
      </c>
      <c r="BI23" s="26">
        <v>0.0</v>
      </c>
    </row>
    <row r="24" spans="1:61" ht="19.15" customHeight="1">
      <c r="A24" s="2"/>
      <c r="B24" s="8"/>
      <c r="C24" s="8" t="s">
        <v>120</v>
      </c>
      <c r="D24" s="15">
        <v>390.0</v>
      </c>
      <c r="E24" s="15">
        <v>1077.0</v>
      </c>
      <c r="F24" s="15">
        <v>1287.0</v>
      </c>
      <c r="G24" s="15">
        <v>1151.0</v>
      </c>
      <c r="H24" s="15">
        <v>1151.0</v>
      </c>
      <c r="I24" s="15">
        <v>0.0</v>
      </c>
      <c r="J24" s="15">
        <v>0.0</v>
      </c>
      <c r="K24" s="15">
        <v>136.0</v>
      </c>
      <c r="L24" s="15">
        <v>952.0</v>
      </c>
      <c r="M24" s="16">
        <v>0.8368298368298368</v>
      </c>
      <c r="N24" s="16">
        <v>0.8943278943278943</v>
      </c>
      <c r="O24" s="16">
        <v>0.8943278943278943</v>
      </c>
      <c r="P24" s="16">
        <v>0.10567210567210568</v>
      </c>
      <c r="Q24" s="16">
        <v>0.7397047397047397</v>
      </c>
      <c r="R24" s="8">
        <v>9.0</v>
      </c>
      <c r="S24" s="8">
        <v>0.0</v>
      </c>
      <c r="T24" s="16">
        <f>IFERROR(S24/R24,"")</f>
        <v>0.0</v>
      </c>
      <c r="U24" s="8">
        <v>9.0</v>
      </c>
      <c r="V24" s="16">
        <v>0.7777777777777778</v>
      </c>
      <c r="W24" s="16">
        <v>1.0</v>
      </c>
      <c r="X24" s="31">
        <v>9.0</v>
      </c>
      <c r="Y24" s="16">
        <v>1.0</v>
      </c>
      <c r="Z24" s="16">
        <v>0.0</v>
      </c>
      <c r="AA24" s="8">
        <v>7.0</v>
      </c>
      <c r="AB24" s="16">
        <v>1.25</v>
      </c>
      <c r="AC24" s="15">
        <v>0.0</v>
      </c>
      <c r="AD24" s="16">
        <f>IFERROR(AC24/AA24,"")</f>
        <v>0.0</v>
      </c>
      <c r="AE24" s="16">
        <v>1.0</v>
      </c>
      <c r="AF24" s="31">
        <v>7.0</v>
      </c>
      <c r="AG24" s="16">
        <v>1.0</v>
      </c>
      <c r="AH24" s="8">
        <v>14.0</v>
      </c>
      <c r="AI24" s="8">
        <v>0.0</v>
      </c>
      <c r="AJ24" s="16">
        <f>IFERROR(AI24/AH24,"")</f>
        <v>0.0</v>
      </c>
      <c r="AK24" s="16">
        <v>0.9196428571428571</v>
      </c>
      <c r="AL24" s="16">
        <v>0.7857142857142857</v>
      </c>
      <c r="AM24" s="16">
        <v>0.35714285714285715</v>
      </c>
      <c r="AN24" s="8">
        <v>0.0</v>
      </c>
      <c r="AO24" s="22"/>
      <c r="AP24" s="28">
        <v>247.0</v>
      </c>
      <c r="AQ24" s="26">
        <v>1514.0</v>
      </c>
      <c r="AR24" s="26">
        <v>1130.0</v>
      </c>
      <c r="AS24" s="26">
        <v>978.0</v>
      </c>
      <c r="AT24" s="26">
        <v>1180.0</v>
      </c>
      <c r="AU24" s="26">
        <v>136.0</v>
      </c>
      <c r="AV24" s="27">
        <v>0.8654867256637168</v>
      </c>
      <c r="AW24" s="26">
        <v>3.0</v>
      </c>
      <c r="AX24" s="26">
        <v>3.0</v>
      </c>
      <c r="AY24" s="26">
        <v>24.0</v>
      </c>
      <c r="AZ24" s="26">
        <v>29.0</v>
      </c>
      <c r="BA24" s="26">
        <v>22.0</v>
      </c>
      <c r="BB24" s="26">
        <v>22.0</v>
      </c>
      <c r="BC24" s="27">
        <v>0.21323529411764705</v>
      </c>
      <c r="BD24" s="26">
        <v>0.0</v>
      </c>
      <c r="BE24" s="26">
        <v>0.0</v>
      </c>
      <c r="BF24" s="26">
        <v>0.0</v>
      </c>
      <c r="BG24" s="26">
        <v>0.0</v>
      </c>
      <c r="BH24" s="26">
        <v>0.0</v>
      </c>
      <c r="BI24" s="26">
        <v>0.0</v>
      </c>
    </row>
    <row r="25" spans="1:61" ht="19.15" customHeight="1">
      <c r="A25" s="2"/>
      <c r="B25" s="8"/>
      <c r="C25" s="8" t="s">
        <v>121</v>
      </c>
      <c r="D25" s="15">
        <v>513.0</v>
      </c>
      <c r="E25" s="15">
        <v>1413.0</v>
      </c>
      <c r="F25" s="15">
        <v>1656.0</v>
      </c>
      <c r="G25" s="15">
        <v>1498.0</v>
      </c>
      <c r="H25" s="15">
        <v>1498.0</v>
      </c>
      <c r="I25" s="15">
        <v>0.0</v>
      </c>
      <c r="J25" s="15">
        <v>0.0</v>
      </c>
      <c r="K25" s="15">
        <v>158.0</v>
      </c>
      <c r="L25" s="15">
        <v>1281.0</v>
      </c>
      <c r="M25" s="16">
        <v>0.8532608695652174</v>
      </c>
      <c r="N25" s="16">
        <v>0.9045893719806763</v>
      </c>
      <c r="O25" s="16">
        <v>0.9045893719806763</v>
      </c>
      <c r="P25" s="16">
        <v>0.09541062801932366</v>
      </c>
      <c r="Q25" s="16">
        <v>0.7735507246376812</v>
      </c>
      <c r="R25" s="8">
        <v>14.0</v>
      </c>
      <c r="S25" s="8">
        <v>0.0</v>
      </c>
      <c r="T25" s="16">
        <f>IFERROR(S25/R25,"")</f>
        <v>0.0</v>
      </c>
      <c r="U25" s="8">
        <v>12.0</v>
      </c>
      <c r="V25" s="16">
        <v>0.8571428571428571</v>
      </c>
      <c r="W25" s="16">
        <v>1.0</v>
      </c>
      <c r="X25" s="31">
        <v>12.0</v>
      </c>
      <c r="Y25" s="16">
        <v>1.0</v>
      </c>
      <c r="Z25" s="16">
        <v>0.0</v>
      </c>
      <c r="AA25" s="8">
        <v>11.0</v>
      </c>
      <c r="AB25" s="16">
        <v>1.1136363636363635</v>
      </c>
      <c r="AC25" s="15">
        <v>0.0</v>
      </c>
      <c r="AD25" s="16">
        <f>IFERROR(AC25/AA25,"")</f>
        <v>0.0</v>
      </c>
      <c r="AE25" s="16">
        <v>1.0</v>
      </c>
      <c r="AF25" s="31">
        <v>11.0</v>
      </c>
      <c r="AG25" s="16">
        <v>1.0</v>
      </c>
      <c r="AH25" s="8">
        <v>12.0</v>
      </c>
      <c r="AI25" s="8">
        <v>0.0</v>
      </c>
      <c r="AJ25" s="16">
        <f>IFERROR(AI25/AH25,"")</f>
        <v>0.0</v>
      </c>
      <c r="AK25" s="16">
        <v>0.90625</v>
      </c>
      <c r="AL25" s="16">
        <v>0.8333333333333334</v>
      </c>
      <c r="AM25" s="16">
        <v>0.5</v>
      </c>
      <c r="AN25" s="8">
        <v>0.0</v>
      </c>
      <c r="AO25" s="22"/>
      <c r="AP25" s="28">
        <v>306.0</v>
      </c>
      <c r="AQ25" s="26">
        <v>1907.0</v>
      </c>
      <c r="AR25" s="26">
        <v>1468.0</v>
      </c>
      <c r="AS25" s="26">
        <v>1306.0</v>
      </c>
      <c r="AT25" s="26">
        <v>1524.0</v>
      </c>
      <c r="AU25" s="26">
        <v>155.0</v>
      </c>
      <c r="AV25" s="27">
        <v>0.8896457765667575</v>
      </c>
      <c r="AW25" s="26">
        <v>6.0</v>
      </c>
      <c r="AX25" s="26">
        <v>7.0</v>
      </c>
      <c r="AY25" s="26">
        <v>32.0</v>
      </c>
      <c r="AZ25" s="26">
        <v>40.0</v>
      </c>
      <c r="BA25" s="26">
        <v>33.0</v>
      </c>
      <c r="BB25" s="26">
        <v>32.0</v>
      </c>
      <c r="BC25" s="27">
        <v>0.25806451612903225</v>
      </c>
      <c r="BD25" s="26">
        <v>0.0</v>
      </c>
      <c r="BE25" s="26">
        <v>0.0</v>
      </c>
      <c r="BF25" s="26">
        <v>0.0</v>
      </c>
      <c r="BG25" s="26">
        <v>0.0</v>
      </c>
      <c r="BH25" s="26">
        <v>0.0</v>
      </c>
      <c r="BI25" s="26">
        <v>0.0</v>
      </c>
    </row>
    <row r="26" spans="1:61" ht="19.15" customHeight="1">
      <c r="A26" s="2"/>
      <c r="B26" s="8"/>
      <c r="C26" s="8" t="s">
        <v>122</v>
      </c>
      <c r="D26" s="15">
        <v>401.0</v>
      </c>
      <c r="E26" s="15">
        <v>1057.0</v>
      </c>
      <c r="F26" s="15">
        <v>1339.0</v>
      </c>
      <c r="G26" s="15">
        <v>1233.0</v>
      </c>
      <c r="H26" s="15">
        <v>1233.0</v>
      </c>
      <c r="I26" s="15">
        <v>0.0</v>
      </c>
      <c r="J26" s="15">
        <v>0.0</v>
      </c>
      <c r="K26" s="15">
        <v>106.0</v>
      </c>
      <c r="L26" s="15">
        <v>1030.0</v>
      </c>
      <c r="M26" s="16">
        <v>0.7893950709484691</v>
      </c>
      <c r="N26" s="16">
        <v>0.9208364451082898</v>
      </c>
      <c r="O26" s="16">
        <v>0.9208364451082898</v>
      </c>
      <c r="P26" s="16">
        <v>0.07916355489171023</v>
      </c>
      <c r="Q26" s="16">
        <v>0.7692307692307693</v>
      </c>
      <c r="R26" s="8">
        <v>11.0</v>
      </c>
      <c r="S26" s="8">
        <v>0.0</v>
      </c>
      <c r="T26" s="16">
        <f>IFERROR(S26/R26,"")</f>
        <v>0.0</v>
      </c>
      <c r="U26" s="8">
        <v>10.0</v>
      </c>
      <c r="V26" s="16">
        <v>0.9090909090909091</v>
      </c>
      <c r="W26" s="16">
        <v>1.0</v>
      </c>
      <c r="X26" s="31">
        <v>10.0</v>
      </c>
      <c r="Y26" s="16">
        <v>1.0</v>
      </c>
      <c r="Z26" s="16">
        <v>0.0</v>
      </c>
      <c r="AA26" s="8">
        <v>15.0</v>
      </c>
      <c r="AB26" s="16">
        <v>1.0</v>
      </c>
      <c r="AC26" s="15">
        <v>1.0</v>
      </c>
      <c r="AD26" s="16">
        <f>IFERROR(AC26/AA26,"")</f>
        <v>0.06666666666666667</v>
      </c>
      <c r="AE26" s="16">
        <v>0.8666666666666667</v>
      </c>
      <c r="AF26" s="31">
        <v>13.0</v>
      </c>
      <c r="AG26" s="16">
        <v>0.8666666666666667</v>
      </c>
      <c r="AH26" s="8">
        <v>15.0</v>
      </c>
      <c r="AI26" s="8">
        <v>2.0</v>
      </c>
      <c r="AJ26" s="16">
        <f>IFERROR(AI26/AH26,"")</f>
        <v>0.13333333333333333</v>
      </c>
      <c r="AK26" s="16">
        <v>0.8583333333333333</v>
      </c>
      <c r="AL26" s="16">
        <v>0.7333333333333333</v>
      </c>
      <c r="AM26" s="16">
        <v>0.3333333333333333</v>
      </c>
      <c r="AN26" s="8">
        <v>0.0</v>
      </c>
      <c r="AO26" s="22"/>
      <c r="AP26" s="28">
        <v>247.0</v>
      </c>
      <c r="AQ26" s="26">
        <v>1539.0</v>
      </c>
      <c r="AR26" s="26">
        <v>1208.0</v>
      </c>
      <c r="AS26" s="26">
        <v>1012.0</v>
      </c>
      <c r="AT26" s="26">
        <v>1232.0</v>
      </c>
      <c r="AU26" s="26">
        <v>99.0</v>
      </c>
      <c r="AV26" s="27">
        <v>0.8377483443708609</v>
      </c>
      <c r="AW26" s="26">
        <v>4.0</v>
      </c>
      <c r="AX26" s="26">
        <v>4.0</v>
      </c>
      <c r="AY26" s="26">
        <v>28.0</v>
      </c>
      <c r="AZ26" s="26">
        <v>35.0</v>
      </c>
      <c r="BA26" s="26">
        <v>27.0</v>
      </c>
      <c r="BB26" s="26">
        <v>27.0</v>
      </c>
      <c r="BC26" s="27">
        <v>0.35353535353535354</v>
      </c>
      <c r="BD26" s="26">
        <v>0.0</v>
      </c>
      <c r="BE26" s="26">
        <v>0.0</v>
      </c>
      <c r="BF26" s="26">
        <v>0.0</v>
      </c>
      <c r="BG26" s="26">
        <v>0.0</v>
      </c>
      <c r="BH26" s="26">
        <v>0.0</v>
      </c>
      <c r="BI26" s="26">
        <v>0.0</v>
      </c>
    </row>
    <row r="27" spans="1:61" ht="19.15" customHeight="1">
      <c r="A27" s="2"/>
      <c r="B27" s="8"/>
      <c r="C27" s="8" t="s">
        <v>123</v>
      </c>
      <c r="D27" s="15">
        <v>316.0</v>
      </c>
      <c r="E27" s="15">
        <v>823.0</v>
      </c>
      <c r="F27" s="15">
        <v>1019.0</v>
      </c>
      <c r="G27" s="15">
        <v>944.0</v>
      </c>
      <c r="H27" s="15">
        <v>938.0</v>
      </c>
      <c r="I27" s="15">
        <v>0.0</v>
      </c>
      <c r="J27" s="15">
        <v>6.0</v>
      </c>
      <c r="K27" s="15">
        <v>75.0</v>
      </c>
      <c r="L27" s="15">
        <v>783.0</v>
      </c>
      <c r="M27" s="16">
        <v>0.8076545632973503</v>
      </c>
      <c r="N27" s="16">
        <v>0.9205103042198234</v>
      </c>
      <c r="O27" s="16">
        <v>0.9263984298331698</v>
      </c>
      <c r="P27" s="16">
        <v>0.07360157016683022</v>
      </c>
      <c r="Q27" s="16">
        <v>0.7684003925417076</v>
      </c>
      <c r="R27" s="8">
        <v>4.0</v>
      </c>
      <c r="S27" s="8">
        <v>0.0</v>
      </c>
      <c r="T27" s="16">
        <f>IFERROR(S27/R27,"")</f>
        <v>0.0</v>
      </c>
      <c r="U27" s="8">
        <v>4.0</v>
      </c>
      <c r="V27" s="16">
        <v>0.75</v>
      </c>
      <c r="W27" s="16">
        <v>1.0</v>
      </c>
      <c r="X27" s="31">
        <v>4.0</v>
      </c>
      <c r="Y27" s="16">
        <v>1.0</v>
      </c>
      <c r="Z27" s="16">
        <v>0.0</v>
      </c>
      <c r="AA27" s="8">
        <v>7.0</v>
      </c>
      <c r="AB27" s="16">
        <v>0.9642857142857143</v>
      </c>
      <c r="AC27" s="15">
        <v>0.0</v>
      </c>
      <c r="AD27" s="16">
        <f>IFERROR(AC27/AA27,"")</f>
        <v>0.0</v>
      </c>
      <c r="AE27" s="16">
        <v>1.0</v>
      </c>
      <c r="AF27" s="31">
        <v>7.0</v>
      </c>
      <c r="AG27" s="16">
        <v>1.0</v>
      </c>
      <c r="AH27" s="8">
        <v>10.0</v>
      </c>
      <c r="AI27" s="8">
        <v>0.0</v>
      </c>
      <c r="AJ27" s="16">
        <f>IFERROR(AI27/AH27,"")</f>
        <v>0.0</v>
      </c>
      <c r="AK27" s="16">
        <v>0.9375</v>
      </c>
      <c r="AL27" s="16">
        <v>0.8</v>
      </c>
      <c r="AM27" s="16">
        <v>0.2</v>
      </c>
      <c r="AN27" s="8">
        <v>0.0</v>
      </c>
      <c r="AO27" s="22"/>
      <c r="AP27" s="28">
        <v>189.0</v>
      </c>
      <c r="AQ27" s="26">
        <v>1191.0</v>
      </c>
      <c r="AR27" s="26">
        <v>927.0</v>
      </c>
      <c r="AS27" s="26">
        <v>794.0</v>
      </c>
      <c r="AT27" s="26">
        <v>987.0</v>
      </c>
      <c r="AU27" s="26">
        <v>75.0</v>
      </c>
      <c r="AV27" s="27">
        <v>0.8565264293419633</v>
      </c>
      <c r="AW27" s="26">
        <v>4.0</v>
      </c>
      <c r="AX27" s="26">
        <v>5.0</v>
      </c>
      <c r="AY27" s="26">
        <v>12.0</v>
      </c>
      <c r="AZ27" s="26">
        <v>13.0</v>
      </c>
      <c r="BA27" s="26">
        <v>11.0</v>
      </c>
      <c r="BB27" s="26">
        <v>11.0</v>
      </c>
      <c r="BC27" s="27">
        <v>0.17333333333333334</v>
      </c>
      <c r="BD27" s="26">
        <v>0.0</v>
      </c>
      <c r="BE27" s="26">
        <v>0.0</v>
      </c>
      <c r="BF27" s="26">
        <v>0.0</v>
      </c>
      <c r="BG27" s="26">
        <v>0.0</v>
      </c>
      <c r="BH27" s="26">
        <v>0.0</v>
      </c>
      <c r="BI27" s="26">
        <v>0.0</v>
      </c>
    </row>
    <row r="28" spans="1:61" ht="19.15" customHeight="1">
      <c r="A28" s="2"/>
      <c r="B28" s="8"/>
      <c r="C28" s="8" t="s">
        <v>124</v>
      </c>
      <c r="D28" s="15">
        <v>306.0</v>
      </c>
      <c r="E28" s="15">
        <v>847.0</v>
      </c>
      <c r="F28" s="15">
        <v>1012.0</v>
      </c>
      <c r="G28" s="15">
        <v>917.0</v>
      </c>
      <c r="H28" s="15">
        <v>917.0</v>
      </c>
      <c r="I28" s="15">
        <v>0.0</v>
      </c>
      <c r="J28" s="15">
        <v>0.0</v>
      </c>
      <c r="K28" s="15">
        <v>95.0</v>
      </c>
      <c r="L28" s="15">
        <v>745.0</v>
      </c>
      <c r="M28" s="16">
        <v>0.8369565217391305</v>
      </c>
      <c r="N28" s="16">
        <v>0.9061264822134387</v>
      </c>
      <c r="O28" s="16">
        <v>0.9061264822134387</v>
      </c>
      <c r="P28" s="16">
        <v>0.09387351778656126</v>
      </c>
      <c r="Q28" s="16">
        <v>0.7361660079051383</v>
      </c>
      <c r="R28" s="8">
        <v>14.0</v>
      </c>
      <c r="S28" s="8">
        <v>0.0</v>
      </c>
      <c r="T28" s="16">
        <f>IFERROR(S28/R28,"")</f>
        <v>0.0</v>
      </c>
      <c r="U28" s="8">
        <v>14.0</v>
      </c>
      <c r="V28" s="16">
        <v>0.8571428571428571</v>
      </c>
      <c r="W28" s="16">
        <v>0.8571428571428571</v>
      </c>
      <c r="X28" s="31">
        <v>11.0</v>
      </c>
      <c r="Y28" s="16">
        <v>0.7857142857142857</v>
      </c>
      <c r="Z28" s="16">
        <v>0.0</v>
      </c>
      <c r="AA28" s="8">
        <v>5.0</v>
      </c>
      <c r="AB28" s="16">
        <v>1.15</v>
      </c>
      <c r="AC28" s="15">
        <v>0.0</v>
      </c>
      <c r="AD28" s="16">
        <f>IFERROR(AC28/AA28,"")</f>
        <v>0.0</v>
      </c>
      <c r="AE28" s="16">
        <v>1.0</v>
      </c>
      <c r="AF28" s="31">
        <v>5.0</v>
      </c>
      <c r="AG28" s="16">
        <v>1.0</v>
      </c>
      <c r="AH28" s="8">
        <v>8.0</v>
      </c>
      <c r="AI28" s="8">
        <v>0.0</v>
      </c>
      <c r="AJ28" s="16">
        <f>IFERROR(AI28/AH28,"")</f>
        <v>0.0</v>
      </c>
      <c r="AK28" s="16">
        <v>0.796875</v>
      </c>
      <c r="AL28" s="16">
        <v>1.0</v>
      </c>
      <c r="AM28" s="16">
        <v>0.5</v>
      </c>
      <c r="AN28" s="8">
        <v>0.0</v>
      </c>
      <c r="AO28" s="22"/>
      <c r="AP28" s="28">
        <v>192.0</v>
      </c>
      <c r="AQ28" s="26">
        <v>1174.0</v>
      </c>
      <c r="AR28" s="26">
        <v>903.0</v>
      </c>
      <c r="AS28" s="26">
        <v>798.0</v>
      </c>
      <c r="AT28" s="26">
        <v>943.0</v>
      </c>
      <c r="AU28" s="26">
        <v>91.0</v>
      </c>
      <c r="AV28" s="27">
        <v>0.8837209302325582</v>
      </c>
      <c r="AW28" s="26">
        <v>2.0</v>
      </c>
      <c r="AX28" s="26">
        <v>2.0</v>
      </c>
      <c r="AY28" s="26">
        <v>16.0</v>
      </c>
      <c r="AZ28" s="26">
        <v>19.0</v>
      </c>
      <c r="BA28" s="26">
        <v>15.0</v>
      </c>
      <c r="BB28" s="26">
        <v>14.0</v>
      </c>
      <c r="BC28" s="27">
        <v>0.2087912087912088</v>
      </c>
      <c r="BD28" s="26">
        <v>0.0</v>
      </c>
      <c r="BE28" s="26">
        <v>0.0</v>
      </c>
      <c r="BF28" s="26">
        <v>0.0</v>
      </c>
      <c r="BG28" s="26">
        <v>0.0</v>
      </c>
      <c r="BH28" s="26">
        <v>0.0</v>
      </c>
      <c r="BI28" s="26">
        <v>0.0</v>
      </c>
    </row>
    <row r="29" spans="1:61" ht="19.15" customHeight="1">
      <c r="A29" s="2"/>
      <c r="B29" s="8"/>
      <c r="C29" s="8" t="s">
        <v>125</v>
      </c>
      <c r="D29" s="15">
        <v>388.0</v>
      </c>
      <c r="E29" s="15">
        <v>1045.0</v>
      </c>
      <c r="F29" s="15">
        <v>1283.0</v>
      </c>
      <c r="G29" s="15">
        <v>1137.0</v>
      </c>
      <c r="H29" s="15">
        <v>1137.0</v>
      </c>
      <c r="I29" s="15">
        <v>0.0</v>
      </c>
      <c r="J29" s="15">
        <v>0.0</v>
      </c>
      <c r="K29" s="15">
        <v>146.0</v>
      </c>
      <c r="L29" s="15">
        <v>978.0</v>
      </c>
      <c r="M29" s="16">
        <v>0.8144972720187061</v>
      </c>
      <c r="N29" s="16">
        <v>0.8862042088854248</v>
      </c>
      <c r="O29" s="16">
        <v>0.8862042088854248</v>
      </c>
      <c r="P29" s="16">
        <v>0.11379579111457522</v>
      </c>
      <c r="Q29" s="16">
        <v>0.7622759158222915</v>
      </c>
      <c r="R29" s="8">
        <v>14.0</v>
      </c>
      <c r="S29" s="8">
        <v>0.0</v>
      </c>
      <c r="T29" s="16">
        <f>IFERROR(S29/R29,"")</f>
        <v>0.0</v>
      </c>
      <c r="U29" s="8">
        <v>14.0</v>
      </c>
      <c r="V29" s="16">
        <v>1.0</v>
      </c>
      <c r="W29" s="16">
        <v>1.0</v>
      </c>
      <c r="X29" s="31">
        <v>14.0</v>
      </c>
      <c r="Y29" s="16">
        <v>1.0</v>
      </c>
      <c r="Z29" s="16">
        <v>0.0</v>
      </c>
      <c r="AA29" s="8">
        <v>11.0</v>
      </c>
      <c r="AB29" s="16">
        <v>1.1818181818181819</v>
      </c>
      <c r="AC29" s="15">
        <v>1.0</v>
      </c>
      <c r="AD29" s="16">
        <f>IFERROR(AC29/AA29,"")</f>
        <v>0.09090909090909091</v>
      </c>
      <c r="AE29" s="16">
        <v>0.9090909090909091</v>
      </c>
      <c r="AF29" s="31">
        <v>10.0</v>
      </c>
      <c r="AG29" s="16">
        <v>0.9090909090909091</v>
      </c>
      <c r="AH29" s="8">
        <v>9.0</v>
      </c>
      <c r="AI29" s="8">
        <v>3.0</v>
      </c>
      <c r="AJ29" s="16">
        <f>IFERROR(AI29/AH29,"")</f>
        <v>0.3333333333333333</v>
      </c>
      <c r="AK29" s="16">
        <v>0.7361111111111112</v>
      </c>
      <c r="AL29" s="16">
        <v>0.4444444444444444</v>
      </c>
      <c r="AM29" s="16">
        <v>0.2222222222222222</v>
      </c>
      <c r="AN29" s="8">
        <v>0.0</v>
      </c>
      <c r="AO29" s="22"/>
      <c r="AP29" s="28">
        <v>243.0</v>
      </c>
      <c r="AQ29" s="26">
        <v>1486.0</v>
      </c>
      <c r="AR29" s="26">
        <v>1104.0</v>
      </c>
      <c r="AS29" s="26">
        <v>987.0</v>
      </c>
      <c r="AT29" s="26">
        <v>1142.0</v>
      </c>
      <c r="AU29" s="26">
        <v>141.0</v>
      </c>
      <c r="AV29" s="27">
        <v>0.8940217391304348</v>
      </c>
      <c r="AW29" s="26">
        <v>3.0</v>
      </c>
      <c r="AX29" s="26">
        <v>3.0</v>
      </c>
      <c r="AY29" s="26">
        <v>34.0</v>
      </c>
      <c r="AZ29" s="26">
        <v>47.0</v>
      </c>
      <c r="BA29" s="26">
        <v>35.0</v>
      </c>
      <c r="BB29" s="26">
        <v>35.0</v>
      </c>
      <c r="BC29" s="27">
        <v>0.3333333333333333</v>
      </c>
      <c r="BD29" s="26">
        <v>0.0</v>
      </c>
      <c r="BE29" s="26">
        <v>0.0</v>
      </c>
      <c r="BF29" s="26">
        <v>0.0</v>
      </c>
      <c r="BG29" s="26">
        <v>0.0</v>
      </c>
      <c r="BH29" s="26">
        <v>0.0</v>
      </c>
      <c r="BI29" s="26">
        <v>0.0</v>
      </c>
    </row>
    <row r="30" spans="1:61" ht="19.15" customHeight="1">
      <c r="A30" s="2"/>
      <c r="B30" s="8"/>
      <c r="C30" s="8" t="s">
        <v>126</v>
      </c>
      <c r="D30" s="15">
        <v>381.0</v>
      </c>
      <c r="E30" s="15">
        <v>1081.0</v>
      </c>
      <c r="F30" s="15">
        <v>1288.0</v>
      </c>
      <c r="G30" s="15">
        <v>1174.0</v>
      </c>
      <c r="H30" s="15">
        <v>1174.0</v>
      </c>
      <c r="I30" s="15">
        <v>0.0</v>
      </c>
      <c r="J30" s="15">
        <v>0.0</v>
      </c>
      <c r="K30" s="15">
        <v>114.0</v>
      </c>
      <c r="L30" s="15">
        <v>972.0</v>
      </c>
      <c r="M30" s="16">
        <v>0.8392857142857143</v>
      </c>
      <c r="N30" s="16">
        <v>0.9114906832298136</v>
      </c>
      <c r="O30" s="16">
        <v>0.9114906832298136</v>
      </c>
      <c r="P30" s="16">
        <v>0.08850931677018634</v>
      </c>
      <c r="Q30" s="16">
        <v>0.7546583850931677</v>
      </c>
      <c r="R30" s="8">
        <v>12.0</v>
      </c>
      <c r="S30" s="8">
        <v>0.0</v>
      </c>
      <c r="T30" s="16">
        <f>IFERROR(S30/R30,"")</f>
        <v>0.0</v>
      </c>
      <c r="U30" s="8">
        <v>12.0</v>
      </c>
      <c r="V30" s="16">
        <v>1.0</v>
      </c>
      <c r="W30" s="16">
        <v>0.9166666666666666</v>
      </c>
      <c r="X30" s="31">
        <v>10.0</v>
      </c>
      <c r="Y30" s="16">
        <v>0.8333333333333334</v>
      </c>
      <c r="Z30" s="16">
        <v>0.0</v>
      </c>
      <c r="AA30" s="8">
        <v>13.0</v>
      </c>
      <c r="AB30" s="16">
        <v>1.1538461538461537</v>
      </c>
      <c r="AC30" s="15">
        <v>1.0</v>
      </c>
      <c r="AD30" s="16">
        <f>IFERROR(AC30/AA30,"")</f>
        <v>0.07692307692307693</v>
      </c>
      <c r="AE30" s="16">
        <v>0.9230769230769231</v>
      </c>
      <c r="AF30" s="31">
        <v>12.0</v>
      </c>
      <c r="AG30" s="16">
        <v>0.9230769230769231</v>
      </c>
      <c r="AH30" s="8">
        <v>13.0</v>
      </c>
      <c r="AI30" s="8">
        <v>1.0</v>
      </c>
      <c r="AJ30" s="16">
        <f>IFERROR(AI30/AH30,"")</f>
        <v>0.07692307692307693</v>
      </c>
      <c r="AK30" s="16">
        <v>0.875</v>
      </c>
      <c r="AL30" s="16">
        <v>0.6153846153846154</v>
      </c>
      <c r="AM30" s="16">
        <v>0.38461538461538464</v>
      </c>
      <c r="AN30" s="8">
        <v>0.0</v>
      </c>
      <c r="AO30" s="22"/>
      <c r="AP30" s="28">
        <v>239.0</v>
      </c>
      <c r="AQ30" s="26">
        <v>1479.0</v>
      </c>
      <c r="AR30" s="26">
        <v>1148.0</v>
      </c>
      <c r="AS30" s="26">
        <v>1027.0</v>
      </c>
      <c r="AT30" s="26">
        <v>1189.0</v>
      </c>
      <c r="AU30" s="26">
        <v>109.0</v>
      </c>
      <c r="AV30" s="27">
        <v>0.8945993031358885</v>
      </c>
      <c r="AW30" s="26">
        <v>3.0</v>
      </c>
      <c r="AX30" s="26">
        <v>3.0</v>
      </c>
      <c r="AY30" s="26">
        <v>25.0</v>
      </c>
      <c r="AZ30" s="26">
        <v>35.0</v>
      </c>
      <c r="BA30" s="26">
        <v>27.0</v>
      </c>
      <c r="BB30" s="26">
        <v>26.0</v>
      </c>
      <c r="BC30" s="27">
        <v>0.3211009174311927</v>
      </c>
      <c r="BD30" s="26">
        <v>0.0</v>
      </c>
      <c r="BE30" s="26">
        <v>0.0</v>
      </c>
      <c r="BF30" s="26">
        <v>0.0</v>
      </c>
      <c r="BG30" s="26">
        <v>0.0</v>
      </c>
      <c r="BH30" s="26">
        <v>0.0</v>
      </c>
      <c r="BI30" s="26">
        <v>0.0</v>
      </c>
    </row>
    <row r="31" spans="1:61" ht="19.15" customHeight="1">
      <c r="A31" s="2"/>
      <c r="B31" s="8" t="s">
        <v>106</v>
      </c>
      <c r="C31" s="8" t="s">
        <v>127</v>
      </c>
      <c r="D31" s="15">
        <v>87.0</v>
      </c>
      <c r="E31" s="15">
        <v>217.0</v>
      </c>
      <c r="F31" s="15">
        <v>260.0</v>
      </c>
      <c r="G31" s="15">
        <v>229.0</v>
      </c>
      <c r="H31" s="15">
        <v>229.0</v>
      </c>
      <c r="I31" s="15">
        <v>0.0</v>
      </c>
      <c r="J31" s="15">
        <v>0.0</v>
      </c>
      <c r="K31" s="15">
        <v>31.0</v>
      </c>
      <c r="L31" s="15">
        <v>179.0</v>
      </c>
      <c r="M31" s="16">
        <v>0.8346153846153846</v>
      </c>
      <c r="N31" s="16">
        <v>0.8807692307692307</v>
      </c>
      <c r="O31" s="16">
        <v>0.8807692307692307</v>
      </c>
      <c r="P31" s="16">
        <v>0.11923076923076924</v>
      </c>
      <c r="Q31" s="16">
        <v>0.6884615384615385</v>
      </c>
      <c r="R31" s="8">
        <v>1.0</v>
      </c>
      <c r="S31" s="8">
        <v>0.0</v>
      </c>
      <c r="T31" s="16">
        <f>IFERROR(S31/R31,"")</f>
        <v>0.0</v>
      </c>
      <c r="U31" s="8">
        <v>1.0</v>
      </c>
      <c r="V31" s="16">
        <v>1.0</v>
      </c>
      <c r="W31" s="16">
        <v>1.0</v>
      </c>
      <c r="X31" s="31">
        <v>1.0</v>
      </c>
      <c r="Y31" s="16">
        <v>1.0</v>
      </c>
      <c r="Z31" s="16">
        <v>0.0</v>
      </c>
      <c r="AA31" s="8">
        <v>3.0</v>
      </c>
      <c r="AB31" s="16">
        <v>1.0833333333333333</v>
      </c>
      <c r="AC31" s="15">
        <v>0.0</v>
      </c>
      <c r="AD31" s="16">
        <f>IFERROR(AC31/AA31,"")</f>
        <v>0.0</v>
      </c>
      <c r="AE31" s="16">
        <v>1.0</v>
      </c>
      <c r="AF31" s="31">
        <v>2.0</v>
      </c>
      <c r="AG31" s="16">
        <v>0.6666666666666666</v>
      </c>
      <c r="AH31" s="8">
        <v>4.0</v>
      </c>
      <c r="AI31" s="8">
        <v>0.0</v>
      </c>
      <c r="AJ31" s="16">
        <f>IFERROR(AI31/AH31,"")</f>
        <v>0.0</v>
      </c>
      <c r="AK31" s="16">
        <v>0.96875</v>
      </c>
      <c r="AL31" s="16">
        <v>1.0</v>
      </c>
      <c r="AM31" s="16">
        <v>0.25</v>
      </c>
      <c r="AN31" s="8">
        <v>0.0</v>
      </c>
      <c r="AO31" s="22"/>
      <c r="AP31" s="28">
        <v>50.0</v>
      </c>
      <c r="AQ31" s="26">
        <v>312.0</v>
      </c>
      <c r="AR31" s="26">
        <v>225.0</v>
      </c>
      <c r="AS31" s="26">
        <v>191.0</v>
      </c>
      <c r="AT31" s="26">
        <v>237.0</v>
      </c>
      <c r="AU31" s="26">
        <v>31.0</v>
      </c>
      <c r="AV31" s="27">
        <v>0.8488888888888889</v>
      </c>
      <c r="AW31" s="26">
        <v>1.0</v>
      </c>
      <c r="AX31" s="26">
        <v>1.0</v>
      </c>
      <c r="AY31" s="26">
        <v>4.0</v>
      </c>
      <c r="AZ31" s="26">
        <v>5.0</v>
      </c>
      <c r="BA31" s="26">
        <v>4.0</v>
      </c>
      <c r="BB31" s="26">
        <v>4.0</v>
      </c>
      <c r="BC31" s="27">
        <v>0.16129032258064516</v>
      </c>
      <c r="BD31" s="26">
        <v>0.0</v>
      </c>
      <c r="BE31" s="26">
        <v>0.0</v>
      </c>
      <c r="BF31" s="26">
        <v>0.0</v>
      </c>
      <c r="BG31" s="26">
        <v>0.0</v>
      </c>
      <c r="BH31" s="26">
        <v>0.0</v>
      </c>
      <c r="BI31" s="26">
        <v>0.0</v>
      </c>
    </row>
    <row r="32" spans="1:61" ht="19.15" customHeight="1">
      <c r="A32" s="2"/>
      <c r="B32" s="8"/>
      <c r="C32" s="8" t="s">
        <v>128</v>
      </c>
      <c r="D32" s="15">
        <v>340.0</v>
      </c>
      <c r="E32" s="15">
        <v>854.0</v>
      </c>
      <c r="F32" s="15">
        <v>1067.0</v>
      </c>
      <c r="G32" s="15">
        <v>965.0</v>
      </c>
      <c r="H32" s="15">
        <v>965.0</v>
      </c>
      <c r="I32" s="15">
        <v>0.0</v>
      </c>
      <c r="J32" s="15">
        <v>0.0</v>
      </c>
      <c r="K32" s="15">
        <v>102.0</v>
      </c>
      <c r="L32" s="15">
        <v>786.0</v>
      </c>
      <c r="M32" s="16">
        <v>0.8003748828491096</v>
      </c>
      <c r="N32" s="16">
        <v>0.9044048734770385</v>
      </c>
      <c r="O32" s="16">
        <v>0.9044048734770385</v>
      </c>
      <c r="P32" s="16">
        <v>0.09559512652296158</v>
      </c>
      <c r="Q32" s="16">
        <v>0.7366447985004686</v>
      </c>
      <c r="R32" s="8">
        <v>12.0</v>
      </c>
      <c r="S32" s="8">
        <v>1.0</v>
      </c>
      <c r="T32" s="16">
        <f>IFERROR(S32/R32,"")</f>
        <v>0.08333333333333333</v>
      </c>
      <c r="U32" s="8">
        <v>12.0</v>
      </c>
      <c r="V32" s="16">
        <v>0.9166666666666666</v>
      </c>
      <c r="W32" s="16">
        <v>0.8333333333333334</v>
      </c>
      <c r="X32" s="31">
        <v>8.0</v>
      </c>
      <c r="Y32" s="16">
        <v>0.6666666666666666</v>
      </c>
      <c r="Z32" s="16">
        <v>0.0</v>
      </c>
      <c r="AA32" s="8">
        <v>14.0</v>
      </c>
      <c r="AB32" s="16">
        <v>1.1785714285714286</v>
      </c>
      <c r="AC32" s="15">
        <v>0.0</v>
      </c>
      <c r="AD32" s="16">
        <f>IFERROR(AC32/AA32,"")</f>
        <v>0.0</v>
      </c>
      <c r="AE32" s="16">
        <v>1.0</v>
      </c>
      <c r="AF32" s="31">
        <v>13.0</v>
      </c>
      <c r="AG32" s="16">
        <v>0.9285714285714286</v>
      </c>
      <c r="AH32" s="8">
        <v>12.0</v>
      </c>
      <c r="AI32" s="8">
        <v>0.0</v>
      </c>
      <c r="AJ32" s="16">
        <f>IFERROR(AI32/AH32,"")</f>
        <v>0.0</v>
      </c>
      <c r="AK32" s="16">
        <v>0.8958333333333334</v>
      </c>
      <c r="AL32" s="16">
        <v>0.8333333333333334</v>
      </c>
      <c r="AM32" s="16">
        <v>0.3333333333333333</v>
      </c>
      <c r="AN32" s="8">
        <v>0.0</v>
      </c>
      <c r="AO32" s="22"/>
      <c r="AP32" s="28">
        <v>210.0</v>
      </c>
      <c r="AQ32" s="26">
        <v>1274.0</v>
      </c>
      <c r="AR32" s="26">
        <v>943.0</v>
      </c>
      <c r="AS32" s="26">
        <v>821.0</v>
      </c>
      <c r="AT32" s="26">
        <v>981.0</v>
      </c>
      <c r="AU32" s="26">
        <v>102.0</v>
      </c>
      <c r="AV32" s="27">
        <v>0.870625662778367</v>
      </c>
      <c r="AW32" s="26">
        <v>2.0</v>
      </c>
      <c r="AX32" s="26">
        <v>3.0</v>
      </c>
      <c r="AY32" s="26">
        <v>20.0</v>
      </c>
      <c r="AZ32" s="26">
        <v>23.0</v>
      </c>
      <c r="BA32" s="26">
        <v>23.0</v>
      </c>
      <c r="BB32" s="26">
        <v>23.0</v>
      </c>
      <c r="BC32" s="27">
        <v>0.22549019607843138</v>
      </c>
      <c r="BD32" s="26">
        <v>0.0</v>
      </c>
      <c r="BE32" s="26">
        <v>0.0</v>
      </c>
      <c r="BF32" s="26">
        <v>0.0</v>
      </c>
      <c r="BG32" s="26">
        <v>0.0</v>
      </c>
      <c r="BH32" s="26">
        <v>0.0</v>
      </c>
      <c r="BI32" s="26">
        <v>0.0</v>
      </c>
    </row>
    <row r="33" spans="1:61" ht="19.15" customHeight="1">
      <c r="A33" s="2"/>
      <c r="B33" s="8"/>
      <c r="C33" s="8" t="s">
        <v>129</v>
      </c>
      <c r="D33" s="15">
        <v>453.0</v>
      </c>
      <c r="E33" s="15">
        <v>1250.0</v>
      </c>
      <c r="F33" s="15">
        <v>1527.0</v>
      </c>
      <c r="G33" s="15">
        <v>1377.0</v>
      </c>
      <c r="H33" s="15">
        <v>1377.0</v>
      </c>
      <c r="I33" s="15">
        <v>0.0</v>
      </c>
      <c r="J33" s="15">
        <v>0.0</v>
      </c>
      <c r="K33" s="15">
        <v>150.0</v>
      </c>
      <c r="L33" s="15">
        <v>1147.0</v>
      </c>
      <c r="M33" s="16">
        <v>0.8185985592665357</v>
      </c>
      <c r="N33" s="16">
        <v>0.9017681728880157</v>
      </c>
      <c r="O33" s="16">
        <v>0.9017681728880157</v>
      </c>
      <c r="P33" s="16">
        <v>0.09823182711198428</v>
      </c>
      <c r="Q33" s="16">
        <v>0.7511460379829732</v>
      </c>
      <c r="R33" s="8">
        <v>14.0</v>
      </c>
      <c r="S33" s="8">
        <v>0.0</v>
      </c>
      <c r="T33" s="16">
        <f>IFERROR(S33/R33,"")</f>
        <v>0.0</v>
      </c>
      <c r="U33" s="8">
        <v>14.0</v>
      </c>
      <c r="V33" s="16">
        <v>0.9285714285714286</v>
      </c>
      <c r="W33" s="16">
        <v>0.8571428571428571</v>
      </c>
      <c r="X33" s="31">
        <v>11.0</v>
      </c>
      <c r="Y33" s="16">
        <v>0.7857142857142857</v>
      </c>
      <c r="Z33" s="16">
        <v>0.0</v>
      </c>
      <c r="AA33" s="8">
        <v>11.0</v>
      </c>
      <c r="AB33" s="16">
        <v>1.2045454545454546</v>
      </c>
      <c r="AC33" s="15">
        <v>1.0</v>
      </c>
      <c r="AD33" s="16">
        <f>IFERROR(AC33/AA33,"")</f>
        <v>0.09090909090909091</v>
      </c>
      <c r="AE33" s="16">
        <v>1.0</v>
      </c>
      <c r="AF33" s="31">
        <v>10.0</v>
      </c>
      <c r="AG33" s="16">
        <v>0.9090909090909091</v>
      </c>
      <c r="AH33" s="8">
        <v>8.0</v>
      </c>
      <c r="AI33" s="8">
        <v>0.0</v>
      </c>
      <c r="AJ33" s="16">
        <f>IFERROR(AI33/AH33,"")</f>
        <v>0.0</v>
      </c>
      <c r="AK33" s="16">
        <v>0.78125</v>
      </c>
      <c r="AL33" s="16">
        <v>1.0</v>
      </c>
      <c r="AM33" s="16">
        <v>0.25</v>
      </c>
      <c r="AN33" s="8">
        <v>0.0</v>
      </c>
      <c r="AO33" s="22"/>
      <c r="AP33" s="28">
        <v>292.0</v>
      </c>
      <c r="AQ33" s="26">
        <v>1782.0</v>
      </c>
      <c r="AR33" s="26">
        <v>1353.0</v>
      </c>
      <c r="AS33" s="26">
        <v>1185.0</v>
      </c>
      <c r="AT33" s="26">
        <v>1408.0</v>
      </c>
      <c r="AU33" s="26">
        <v>147.0</v>
      </c>
      <c r="AV33" s="27">
        <v>0.8758314855875832</v>
      </c>
      <c r="AW33" s="26">
        <v>2.0</v>
      </c>
      <c r="AX33" s="26">
        <v>2.0</v>
      </c>
      <c r="AY33" s="26">
        <v>24.0</v>
      </c>
      <c r="AZ33" s="26">
        <v>30.0</v>
      </c>
      <c r="BA33" s="26">
        <v>25.0</v>
      </c>
      <c r="BB33" s="26">
        <v>25.0</v>
      </c>
      <c r="BC33" s="27">
        <v>0.20408163265306123</v>
      </c>
      <c r="BD33" s="26">
        <v>0.0</v>
      </c>
      <c r="BE33" s="26">
        <v>0.0</v>
      </c>
      <c r="BF33" s="26">
        <v>0.0</v>
      </c>
      <c r="BG33" s="26">
        <v>0.0</v>
      </c>
      <c r="BH33" s="26">
        <v>0.0</v>
      </c>
      <c r="BI33" s="26">
        <v>0.0</v>
      </c>
    </row>
    <row r="34" spans="1:61" ht="19.15" customHeight="1">
      <c r="A34" s="2"/>
      <c r="B34" s="8"/>
      <c r="C34" s="8" t="s">
        <v>130</v>
      </c>
      <c r="D34" s="15">
        <v>370.0</v>
      </c>
      <c r="E34" s="15">
        <v>983.0</v>
      </c>
      <c r="F34" s="15">
        <v>1206.0</v>
      </c>
      <c r="G34" s="15">
        <v>1128.0</v>
      </c>
      <c r="H34" s="15">
        <v>1128.0</v>
      </c>
      <c r="I34" s="15">
        <v>0.0</v>
      </c>
      <c r="J34" s="15">
        <v>0.0</v>
      </c>
      <c r="K34" s="15">
        <v>78.0</v>
      </c>
      <c r="L34" s="15">
        <v>919.0</v>
      </c>
      <c r="M34" s="16">
        <v>0.8150912106135987</v>
      </c>
      <c r="N34" s="16">
        <v>0.9353233830845771</v>
      </c>
      <c r="O34" s="16">
        <v>0.9353233830845771</v>
      </c>
      <c r="P34" s="16">
        <v>0.06467661691542288</v>
      </c>
      <c r="Q34" s="16">
        <v>0.7620232172470979</v>
      </c>
      <c r="R34" s="8">
        <v>9.0</v>
      </c>
      <c r="S34" s="8">
        <v>0.0</v>
      </c>
      <c r="T34" s="16">
        <f>IFERROR(S34/R34,"")</f>
        <v>0.0</v>
      </c>
      <c r="U34" s="8">
        <v>8.0</v>
      </c>
      <c r="V34" s="16">
        <v>1.0</v>
      </c>
      <c r="W34" s="16">
        <v>0.8888888888888888</v>
      </c>
      <c r="X34" s="31">
        <v>7.0</v>
      </c>
      <c r="Y34" s="16">
        <v>0.875</v>
      </c>
      <c r="Z34" s="16">
        <v>0.0</v>
      </c>
      <c r="AA34" s="8">
        <v>14.0</v>
      </c>
      <c r="AB34" s="16">
        <v>1.125</v>
      </c>
      <c r="AC34" s="15">
        <v>0.0</v>
      </c>
      <c r="AD34" s="16">
        <f>IFERROR(AC34/AA34,"")</f>
        <v>0.0</v>
      </c>
      <c r="AE34" s="16">
        <v>0.9285714285714286</v>
      </c>
      <c r="AF34" s="31">
        <v>12.0</v>
      </c>
      <c r="AG34" s="16">
        <v>0.8571428571428571</v>
      </c>
      <c r="AH34" s="8">
        <v>12.0</v>
      </c>
      <c r="AI34" s="8">
        <v>0.0</v>
      </c>
      <c r="AJ34" s="16">
        <f>IFERROR(AI34/AH34,"")</f>
        <v>0.0</v>
      </c>
      <c r="AK34" s="16">
        <v>0.8125</v>
      </c>
      <c r="AL34" s="16">
        <v>0.8333333333333334</v>
      </c>
      <c r="AM34" s="16">
        <v>0.6666666666666666</v>
      </c>
      <c r="AN34" s="8">
        <v>0.0</v>
      </c>
      <c r="AO34" s="22"/>
      <c r="AP34" s="28">
        <v>229.0</v>
      </c>
      <c r="AQ34" s="26">
        <v>1423.0</v>
      </c>
      <c r="AR34" s="26">
        <v>1109.0</v>
      </c>
      <c r="AS34" s="26">
        <v>980.0</v>
      </c>
      <c r="AT34" s="26">
        <v>1141.0</v>
      </c>
      <c r="AU34" s="26">
        <v>77.0</v>
      </c>
      <c r="AV34" s="27">
        <v>0.8836789900811542</v>
      </c>
      <c r="AW34" s="26">
        <v>1.0</v>
      </c>
      <c r="AX34" s="26">
        <v>1.0</v>
      </c>
      <c r="AY34" s="26">
        <v>19.0</v>
      </c>
      <c r="AZ34" s="26">
        <v>23.0</v>
      </c>
      <c r="BA34" s="26">
        <v>20.0</v>
      </c>
      <c r="BB34" s="26">
        <v>20.0</v>
      </c>
      <c r="BC34" s="27">
        <v>0.2987012987012987</v>
      </c>
      <c r="BD34" s="26">
        <v>0.0</v>
      </c>
      <c r="BE34" s="26">
        <v>0.0</v>
      </c>
      <c r="BF34" s="26">
        <v>0.0</v>
      </c>
      <c r="BG34" s="26">
        <v>0.0</v>
      </c>
      <c r="BH34" s="26">
        <v>0.0</v>
      </c>
      <c r="BI34" s="26">
        <v>0.0</v>
      </c>
    </row>
    <row r="35" spans="1:61" ht="19.15" customHeight="1">
      <c r="A35" s="2"/>
      <c r="B35" s="8"/>
      <c r="C35" s="8" t="s">
        <v>131</v>
      </c>
      <c r="D35" s="15">
        <v>47.0</v>
      </c>
      <c r="E35" s="15">
        <v>130.0</v>
      </c>
      <c r="F35" s="15">
        <v>147.0</v>
      </c>
      <c r="G35" s="15">
        <v>144.0</v>
      </c>
      <c r="H35" s="15">
        <v>144.0</v>
      </c>
      <c r="I35" s="15">
        <v>0.0</v>
      </c>
      <c r="J35" s="15">
        <v>0.0</v>
      </c>
      <c r="K35" s="15">
        <v>3.0</v>
      </c>
      <c r="L35" s="15">
        <v>116.0</v>
      </c>
      <c r="M35" s="16">
        <v>0.8843537414965986</v>
      </c>
      <c r="N35" s="16">
        <v>0.9795918367346939</v>
      </c>
      <c r="O35" s="16">
        <v>0.9795918367346939</v>
      </c>
      <c r="P35" s="16">
        <v>0.02040816326530612</v>
      </c>
      <c r="Q35" s="16">
        <v>0.7891156462585034</v>
      </c>
      <c r="R35" s="8">
        <v>2.0</v>
      </c>
      <c r="S35" s="8">
        <v>0.0</v>
      </c>
      <c r="T35" s="16">
        <f>IFERROR(S35/R35,"")</f>
        <v>0.0</v>
      </c>
      <c r="U35" s="8">
        <v>2.0</v>
      </c>
      <c r="V35" s="16">
        <v>1.0</v>
      </c>
      <c r="W35" s="16">
        <v>1.0</v>
      </c>
      <c r="X35" s="31">
        <v>2.0</v>
      </c>
      <c r="Y35" s="16">
        <v>1.0</v>
      </c>
      <c r="Z35" s="16">
        <v>0.0</v>
      </c>
      <c r="AA35" s="8">
        <v>0.0</v>
      </c>
      <c r="AB35" s="16"/>
      <c r="AC35" s="15"/>
      <c r="AD35" s="16" t="str">
        <f>IFERROR(AC35/AA35,"")</f>
        <v/>
      </c>
      <c r="AE35" s="16"/>
      <c r="AF35" s="31"/>
      <c r="AG35" s="16"/>
      <c r="AH35" s="8">
        <v>1.0</v>
      </c>
      <c r="AI35" s="8">
        <v>0.0</v>
      </c>
      <c r="AJ35" s="16">
        <f>IFERROR(AI35/AH35,"")</f>
        <v>0.0</v>
      </c>
      <c r="AK35" s="16">
        <v>1.0</v>
      </c>
      <c r="AL35" s="16">
        <v>1.0</v>
      </c>
      <c r="AM35" s="16">
        <v>1.0</v>
      </c>
      <c r="AN35" s="8">
        <v>0.0</v>
      </c>
      <c r="AO35" s="22"/>
      <c r="AP35" s="28">
        <v>29.0</v>
      </c>
      <c r="AQ35" s="26">
        <v>176.0</v>
      </c>
      <c r="AR35" s="26">
        <v>143.0</v>
      </c>
      <c r="AS35" s="26">
        <v>124.0</v>
      </c>
      <c r="AT35" s="26">
        <v>144.0</v>
      </c>
      <c r="AU35" s="26">
        <v>3.0</v>
      </c>
      <c r="AV35" s="27">
        <v>0.8671328671328671</v>
      </c>
      <c r="AW35" s="26">
        <v>0.0</v>
      </c>
      <c r="AX35" s="26">
        <v>0.0</v>
      </c>
      <c r="AY35" s="26">
        <v>1.0</v>
      </c>
      <c r="AZ35" s="26">
        <v>1.0</v>
      </c>
      <c r="BA35" s="26">
        <v>1.0</v>
      </c>
      <c r="BB35" s="26">
        <v>1.0</v>
      </c>
      <c r="BC35" s="27">
        <v>0.3333333333333333</v>
      </c>
      <c r="BD35" s="26">
        <v>0.0</v>
      </c>
      <c r="BE35" s="26">
        <v>0.0</v>
      </c>
      <c r="BF35" s="26">
        <v>0.0</v>
      </c>
      <c r="BG35" s="26">
        <v>0.0</v>
      </c>
      <c r="BH35" s="26">
        <v>0.0</v>
      </c>
      <c r="BI35" s="26">
        <v>0.0</v>
      </c>
    </row>
    <row r="36" spans="1:61" ht="19.15" customHeight="1">
      <c r="A36" s="2"/>
      <c r="B36" s="8"/>
      <c r="C36" s="8" t="s">
        <v>132</v>
      </c>
      <c r="D36" s="15">
        <v>469.0</v>
      </c>
      <c r="E36" s="15">
        <v>1355.0</v>
      </c>
      <c r="F36" s="15">
        <v>1600.0</v>
      </c>
      <c r="G36" s="15">
        <v>1480.0</v>
      </c>
      <c r="H36" s="15">
        <v>1480.0</v>
      </c>
      <c r="I36" s="15">
        <v>0.0</v>
      </c>
      <c r="J36" s="15">
        <v>0.0</v>
      </c>
      <c r="K36" s="15">
        <v>120.0</v>
      </c>
      <c r="L36" s="15">
        <v>1233.0</v>
      </c>
      <c r="M36" s="16">
        <v>0.846875</v>
      </c>
      <c r="N36" s="16">
        <v>0.925</v>
      </c>
      <c r="O36" s="16">
        <v>0.925</v>
      </c>
      <c r="P36" s="16">
        <v>0.075</v>
      </c>
      <c r="Q36" s="16">
        <v>0.770625</v>
      </c>
      <c r="R36" s="8">
        <v>9.0</v>
      </c>
      <c r="S36" s="8">
        <v>0.0</v>
      </c>
      <c r="T36" s="16">
        <f>IFERROR(S36/R36,"")</f>
        <v>0.0</v>
      </c>
      <c r="U36" s="8">
        <v>8.0</v>
      </c>
      <c r="V36" s="16">
        <v>0.8888888888888888</v>
      </c>
      <c r="W36" s="16">
        <v>1.0</v>
      </c>
      <c r="X36" s="31">
        <v>6.0</v>
      </c>
      <c r="Y36" s="16">
        <v>0.75</v>
      </c>
      <c r="Z36" s="16">
        <v>0.0</v>
      </c>
      <c r="AA36" s="8">
        <v>7.0</v>
      </c>
      <c r="AB36" s="16">
        <v>0.9285714285714286</v>
      </c>
      <c r="AC36" s="15">
        <v>0.0</v>
      </c>
      <c r="AD36" s="16">
        <f>IFERROR(AC36/AA36,"")</f>
        <v>0.0</v>
      </c>
      <c r="AE36" s="16">
        <v>1.0</v>
      </c>
      <c r="AF36" s="31">
        <v>7.0</v>
      </c>
      <c r="AG36" s="16">
        <v>1.0</v>
      </c>
      <c r="AH36" s="8">
        <v>10.0</v>
      </c>
      <c r="AI36" s="8">
        <v>0.0</v>
      </c>
      <c r="AJ36" s="16">
        <f>IFERROR(AI36/AH36,"")</f>
        <v>0.0</v>
      </c>
      <c r="AK36" s="16">
        <v>0.975</v>
      </c>
      <c r="AL36" s="16">
        <v>0.6</v>
      </c>
      <c r="AM36" s="16">
        <v>0.2</v>
      </c>
      <c r="AN36" s="8">
        <v>0.0</v>
      </c>
      <c r="AO36" s="22"/>
      <c r="AP36" s="28">
        <v>303.0</v>
      </c>
      <c r="AQ36" s="26">
        <v>1876.0</v>
      </c>
      <c r="AR36" s="26">
        <v>1456.0</v>
      </c>
      <c r="AS36" s="26">
        <v>1245.0</v>
      </c>
      <c r="AT36" s="26">
        <v>1485.0</v>
      </c>
      <c r="AU36" s="26">
        <v>120.0</v>
      </c>
      <c r="AV36" s="27">
        <v>0.8550824175824175</v>
      </c>
      <c r="AW36" s="26">
        <v>3.0</v>
      </c>
      <c r="AX36" s="26">
        <v>3.0</v>
      </c>
      <c r="AY36" s="26">
        <v>22.0</v>
      </c>
      <c r="AZ36" s="26">
        <v>26.0</v>
      </c>
      <c r="BA36" s="26">
        <v>24.0</v>
      </c>
      <c r="BB36" s="26">
        <v>24.0</v>
      </c>
      <c r="BC36" s="27">
        <v>0.21666666666666667</v>
      </c>
      <c r="BD36" s="26">
        <v>0.0</v>
      </c>
      <c r="BE36" s="26">
        <v>0.0</v>
      </c>
      <c r="BF36" s="26">
        <v>0.0</v>
      </c>
      <c r="BG36" s="26">
        <v>0.0</v>
      </c>
      <c r="BH36" s="26">
        <v>0.0</v>
      </c>
      <c r="BI36" s="26">
        <v>0.0</v>
      </c>
    </row>
    <row r="37" spans="1:61" ht="19.15" customHeight="1">
      <c r="A37" s="2"/>
      <c r="B37" s="8"/>
      <c r="C37" s="8" t="s">
        <v>133</v>
      </c>
      <c r="D37" s="15">
        <v>53.0</v>
      </c>
      <c r="E37" s="15">
        <v>149.0</v>
      </c>
      <c r="F37" s="15">
        <v>166.0</v>
      </c>
      <c r="G37" s="15">
        <v>150.0</v>
      </c>
      <c r="H37" s="15">
        <v>150.0</v>
      </c>
      <c r="I37" s="15">
        <v>0.0</v>
      </c>
      <c r="J37" s="15">
        <v>0.0</v>
      </c>
      <c r="K37" s="15">
        <v>16.0</v>
      </c>
      <c r="L37" s="15">
        <v>137.0</v>
      </c>
      <c r="M37" s="16">
        <v>0.8975903614457831</v>
      </c>
      <c r="N37" s="16">
        <v>0.9036144578313253</v>
      </c>
      <c r="O37" s="16">
        <v>0.9036144578313253</v>
      </c>
      <c r="P37" s="16">
        <v>0.0963855421686747</v>
      </c>
      <c r="Q37" s="16">
        <v>0.8253012048192772</v>
      </c>
      <c r="R37" s="8">
        <v>1.0</v>
      </c>
      <c r="S37" s="8">
        <v>0.0</v>
      </c>
      <c r="T37" s="16">
        <f>IFERROR(S37/R37,"")</f>
        <v>0.0</v>
      </c>
      <c r="U37" s="8">
        <v>1.0</v>
      </c>
      <c r="V37" s="16">
        <v>1.0</v>
      </c>
      <c r="W37" s="16">
        <v>1.0</v>
      </c>
      <c r="X37" s="31">
        <v>1.0</v>
      </c>
      <c r="Y37" s="16">
        <v>1.0</v>
      </c>
      <c r="Z37" s="16">
        <v>0.0</v>
      </c>
      <c r="AA37" s="8">
        <v>2.0</v>
      </c>
      <c r="AB37" s="16">
        <v>1.0</v>
      </c>
      <c r="AC37" s="15">
        <v>1.0</v>
      </c>
      <c r="AD37" s="16">
        <f>IFERROR(AC37/AA37,"")</f>
        <v>0.5</v>
      </c>
      <c r="AE37" s="16">
        <v>1.0</v>
      </c>
      <c r="AF37" s="31">
        <v>1.0</v>
      </c>
      <c r="AG37" s="16">
        <v>0.5</v>
      </c>
      <c r="AH37" s="8">
        <v>2.0</v>
      </c>
      <c r="AI37" s="8">
        <v>1.0</v>
      </c>
      <c r="AJ37" s="16">
        <f>IFERROR(AI37/AH37,"")</f>
        <v>0.5</v>
      </c>
      <c r="AK37" s="16">
        <v>1.0</v>
      </c>
      <c r="AL37" s="16">
        <v>0.5</v>
      </c>
      <c r="AM37" s="16">
        <v>0.0</v>
      </c>
      <c r="AN37" s="8">
        <v>0.0</v>
      </c>
      <c r="AO37" s="22"/>
      <c r="AP37" s="28">
        <v>31.0</v>
      </c>
      <c r="AQ37" s="26">
        <v>196.0</v>
      </c>
      <c r="AR37" s="26">
        <v>149.0</v>
      </c>
      <c r="AS37" s="26">
        <v>134.0</v>
      </c>
      <c r="AT37" s="26">
        <v>154.0</v>
      </c>
      <c r="AU37" s="26">
        <v>16.0</v>
      </c>
      <c r="AV37" s="27">
        <v>0.8993288590604027</v>
      </c>
      <c r="AW37" s="26">
        <v>0.0</v>
      </c>
      <c r="AX37" s="26">
        <v>0.0</v>
      </c>
      <c r="AY37" s="26">
        <v>1.0</v>
      </c>
      <c r="AZ37" s="26">
        <v>1.0</v>
      </c>
      <c r="BA37" s="26">
        <v>1.0</v>
      </c>
      <c r="BB37" s="26">
        <v>1.0</v>
      </c>
      <c r="BC37" s="27">
        <v>0.0625</v>
      </c>
      <c r="BD37" s="26">
        <v>0.0</v>
      </c>
      <c r="BE37" s="26">
        <v>0.0</v>
      </c>
      <c r="BF37" s="26">
        <v>0.0</v>
      </c>
      <c r="BG37" s="26">
        <v>0.0</v>
      </c>
      <c r="BH37" s="26">
        <v>0.0</v>
      </c>
      <c r="BI37" s="26">
        <v>0.0</v>
      </c>
    </row>
    <row r="38" spans="1:61" ht="19.15" customHeight="1">
      <c r="A38" s="2"/>
      <c r="B38" s="8"/>
      <c r="C38" s="8" t="s">
        <v>134</v>
      </c>
      <c r="D38" s="15">
        <v>328.0</v>
      </c>
      <c r="E38" s="15">
        <v>914.0</v>
      </c>
      <c r="F38" s="15">
        <v>1066.0</v>
      </c>
      <c r="G38" s="15">
        <v>980.0</v>
      </c>
      <c r="H38" s="15">
        <v>980.0</v>
      </c>
      <c r="I38" s="15">
        <v>0.0</v>
      </c>
      <c r="J38" s="15">
        <v>0.0</v>
      </c>
      <c r="K38" s="15">
        <v>86.0</v>
      </c>
      <c r="L38" s="15">
        <v>800.0</v>
      </c>
      <c r="M38" s="16">
        <v>0.8574108818011257</v>
      </c>
      <c r="N38" s="16">
        <v>0.9193245778611632</v>
      </c>
      <c r="O38" s="16">
        <v>0.9193245778611632</v>
      </c>
      <c r="P38" s="16">
        <v>0.08067542213883677</v>
      </c>
      <c r="Q38" s="16">
        <v>0.7504690431519699</v>
      </c>
      <c r="R38" s="8">
        <v>9.0</v>
      </c>
      <c r="S38" s="8">
        <v>0.0</v>
      </c>
      <c r="T38" s="16">
        <f>IFERROR(S38/R38,"")</f>
        <v>0.0</v>
      </c>
      <c r="U38" s="8">
        <v>9.0</v>
      </c>
      <c r="V38" s="16">
        <v>0.6666666666666666</v>
      </c>
      <c r="W38" s="16">
        <v>1.0</v>
      </c>
      <c r="X38" s="31">
        <v>9.0</v>
      </c>
      <c r="Y38" s="16">
        <v>1.0</v>
      </c>
      <c r="Z38" s="16">
        <v>0.0</v>
      </c>
      <c r="AA38" s="8">
        <v>6.0</v>
      </c>
      <c r="AB38" s="16">
        <v>1.1666666666666667</v>
      </c>
      <c r="AC38" s="15">
        <v>0.0</v>
      </c>
      <c r="AD38" s="16">
        <f>IFERROR(AC38/AA38,"")</f>
        <v>0.0</v>
      </c>
      <c r="AE38" s="16">
        <v>0.8333333333333334</v>
      </c>
      <c r="AF38" s="31">
        <v>3.0</v>
      </c>
      <c r="AG38" s="16">
        <v>0.5</v>
      </c>
      <c r="AH38" s="8">
        <v>10.0</v>
      </c>
      <c r="AI38" s="8">
        <v>0.0</v>
      </c>
      <c r="AJ38" s="16">
        <f>IFERROR(AI38/AH38,"")</f>
        <v>0.0</v>
      </c>
      <c r="AK38" s="16">
        <v>0.9375</v>
      </c>
      <c r="AL38" s="16">
        <v>0.7</v>
      </c>
      <c r="AM38" s="16">
        <v>0.2</v>
      </c>
      <c r="AN38" s="8">
        <v>0.0</v>
      </c>
      <c r="AO38" s="22"/>
      <c r="AP38" s="28">
        <v>202.0</v>
      </c>
      <c r="AQ38" s="26">
        <v>1248.0</v>
      </c>
      <c r="AR38" s="26">
        <v>964.0</v>
      </c>
      <c r="AS38" s="26">
        <v>842.0</v>
      </c>
      <c r="AT38" s="26">
        <v>995.0</v>
      </c>
      <c r="AU38" s="26">
        <v>86.0</v>
      </c>
      <c r="AV38" s="27">
        <v>0.8734439834024896</v>
      </c>
      <c r="AW38" s="26">
        <v>3.0</v>
      </c>
      <c r="AX38" s="26">
        <v>3.0</v>
      </c>
      <c r="AY38" s="26">
        <v>16.0</v>
      </c>
      <c r="AZ38" s="26">
        <v>20.0</v>
      </c>
      <c r="BA38" s="26">
        <v>15.0</v>
      </c>
      <c r="BB38" s="26">
        <v>15.0</v>
      </c>
      <c r="BC38" s="27">
        <v>0.23255813953488372</v>
      </c>
      <c r="BD38" s="26">
        <v>0.0</v>
      </c>
      <c r="BE38" s="26">
        <v>0.0</v>
      </c>
      <c r="BF38" s="26">
        <v>0.0</v>
      </c>
      <c r="BG38" s="26">
        <v>0.0</v>
      </c>
      <c r="BH38" s="26">
        <v>0.0</v>
      </c>
      <c r="BI38" s="26">
        <v>0.0</v>
      </c>
    </row>
    <row r="39" spans="1:61" ht="19.15" customHeight="1">
      <c r="A39" s="2"/>
      <c r="B39" s="8"/>
      <c r="C39" s="8" t="s">
        <v>135</v>
      </c>
      <c r="D39" s="15">
        <v>483.0</v>
      </c>
      <c r="E39" s="15">
        <v>1305.0</v>
      </c>
      <c r="F39" s="15">
        <v>1529.0</v>
      </c>
      <c r="G39" s="15">
        <v>1430.0</v>
      </c>
      <c r="H39" s="15">
        <v>1430.0</v>
      </c>
      <c r="I39" s="15">
        <v>0.0</v>
      </c>
      <c r="J39" s="15">
        <v>0.0</v>
      </c>
      <c r="K39" s="15">
        <v>99.0</v>
      </c>
      <c r="L39" s="15">
        <v>1177.0</v>
      </c>
      <c r="M39" s="16">
        <v>0.8534990189666448</v>
      </c>
      <c r="N39" s="16">
        <v>0.935251798561151</v>
      </c>
      <c r="O39" s="16">
        <v>0.935251798561151</v>
      </c>
      <c r="P39" s="16">
        <v>0.06474820143884892</v>
      </c>
      <c r="Q39" s="16">
        <v>0.7697841726618705</v>
      </c>
      <c r="R39" s="8">
        <v>13.0</v>
      </c>
      <c r="S39" s="8">
        <v>1.0</v>
      </c>
      <c r="T39" s="16">
        <f>IFERROR(S39/R39,"")</f>
        <v>0.07692307692307693</v>
      </c>
      <c r="U39" s="8">
        <v>12.0</v>
      </c>
      <c r="V39" s="16">
        <v>0.8461538461538461</v>
      </c>
      <c r="W39" s="16">
        <v>0.9230769230769231</v>
      </c>
      <c r="X39" s="31">
        <v>9.0</v>
      </c>
      <c r="Y39" s="16">
        <v>0.75</v>
      </c>
      <c r="Z39" s="16">
        <v>0.0</v>
      </c>
      <c r="AA39" s="8">
        <v>15.0</v>
      </c>
      <c r="AB39" s="16">
        <v>0.9666666666666667</v>
      </c>
      <c r="AC39" s="15">
        <v>1.0</v>
      </c>
      <c r="AD39" s="16">
        <f>IFERROR(AC39/AA39,"")</f>
        <v>0.06666666666666667</v>
      </c>
      <c r="AE39" s="16">
        <v>0.7333333333333333</v>
      </c>
      <c r="AF39" s="31">
        <v>9.0</v>
      </c>
      <c r="AG39" s="16">
        <v>0.6</v>
      </c>
      <c r="AH39" s="8">
        <v>16.0</v>
      </c>
      <c r="AI39" s="8">
        <v>0.0</v>
      </c>
      <c r="AJ39" s="16">
        <f>IFERROR(AI39/AH39,"")</f>
        <v>0.0</v>
      </c>
      <c r="AK39" s="16">
        <v>0.84375</v>
      </c>
      <c r="AL39" s="16">
        <v>0.6875</v>
      </c>
      <c r="AM39" s="16">
        <v>0.25</v>
      </c>
      <c r="AN39" s="8">
        <v>0.0</v>
      </c>
      <c r="AO39" s="22"/>
      <c r="AP39" s="28">
        <v>298.0</v>
      </c>
      <c r="AQ39" s="26">
        <v>1820.0</v>
      </c>
      <c r="AR39" s="26">
        <v>1423.0</v>
      </c>
      <c r="AS39" s="26">
        <v>1229.0</v>
      </c>
      <c r="AT39" s="26">
        <v>1470.0</v>
      </c>
      <c r="AU39" s="26">
        <v>96.0</v>
      </c>
      <c r="AV39" s="27">
        <v>0.8636683063949403</v>
      </c>
      <c r="AW39" s="26">
        <v>3.0</v>
      </c>
      <c r="AX39" s="26">
        <v>3.0</v>
      </c>
      <c r="AY39" s="26">
        <v>11.0</v>
      </c>
      <c r="AZ39" s="26">
        <v>13.0</v>
      </c>
      <c r="BA39" s="26">
        <v>9.0</v>
      </c>
      <c r="BB39" s="26">
        <v>8.0</v>
      </c>
      <c r="BC39" s="27">
        <v>0.13541666666666666</v>
      </c>
      <c r="BD39" s="26">
        <v>0.0</v>
      </c>
      <c r="BE39" s="26">
        <v>0.0</v>
      </c>
      <c r="BF39" s="26">
        <v>0.0</v>
      </c>
      <c r="BG39" s="26">
        <v>0.0</v>
      </c>
      <c r="BH39" s="26">
        <v>0.0</v>
      </c>
      <c r="BI39" s="26">
        <v>0.0</v>
      </c>
    </row>
    <row r="40" spans="1:61" ht="19.15" customHeight="1">
      <c r="A40" s="2"/>
      <c r="B40" s="8"/>
      <c r="C40" s="8" t="s">
        <v>136</v>
      </c>
      <c r="D40" s="15">
        <v>290.0</v>
      </c>
      <c r="E40" s="15">
        <v>759.0</v>
      </c>
      <c r="F40" s="15">
        <v>953.0</v>
      </c>
      <c r="G40" s="15">
        <v>883.0</v>
      </c>
      <c r="H40" s="15">
        <v>883.0</v>
      </c>
      <c r="I40" s="15">
        <v>0.0</v>
      </c>
      <c r="J40" s="15">
        <v>0.0</v>
      </c>
      <c r="K40" s="15">
        <v>70.0</v>
      </c>
      <c r="L40" s="15">
        <v>721.0</v>
      </c>
      <c r="M40" s="16">
        <v>0.7964323189926548</v>
      </c>
      <c r="N40" s="16">
        <v>0.9265477439664218</v>
      </c>
      <c r="O40" s="16">
        <v>0.9265477439664218</v>
      </c>
      <c r="P40" s="16">
        <v>0.07345225603357818</v>
      </c>
      <c r="Q40" s="16">
        <v>0.7565582371458552</v>
      </c>
      <c r="R40" s="8">
        <v>2.0</v>
      </c>
      <c r="S40" s="8">
        <v>0.0</v>
      </c>
      <c r="T40" s="16">
        <f>IFERROR(S40/R40,"")</f>
        <v>0.0</v>
      </c>
      <c r="U40" s="8">
        <v>2.0</v>
      </c>
      <c r="V40" s="16">
        <v>1.0</v>
      </c>
      <c r="W40" s="16">
        <v>1.0</v>
      </c>
      <c r="X40" s="31">
        <v>2.0</v>
      </c>
      <c r="Y40" s="16">
        <v>1.0</v>
      </c>
      <c r="Z40" s="16">
        <v>0.0</v>
      </c>
      <c r="AA40" s="8">
        <v>2.0</v>
      </c>
      <c r="AB40" s="16">
        <v>1.375</v>
      </c>
      <c r="AC40" s="15">
        <v>0.0</v>
      </c>
      <c r="AD40" s="16">
        <f>IFERROR(AC40/AA40,"")</f>
        <v>0.0</v>
      </c>
      <c r="AE40" s="16">
        <v>1.0</v>
      </c>
      <c r="AF40" s="31">
        <v>1.0</v>
      </c>
      <c r="AG40" s="16">
        <v>0.5</v>
      </c>
      <c r="AH40" s="8">
        <v>3.0</v>
      </c>
      <c r="AI40" s="8">
        <v>0.0</v>
      </c>
      <c r="AJ40" s="16">
        <f>IFERROR(AI40/AH40,"")</f>
        <v>0.0</v>
      </c>
      <c r="AK40" s="16">
        <v>1.0</v>
      </c>
      <c r="AL40" s="16">
        <v>1.0</v>
      </c>
      <c r="AM40" s="16">
        <v>0.6666666666666666</v>
      </c>
      <c r="AN40" s="8">
        <v>0.0</v>
      </c>
      <c r="AO40" s="22"/>
      <c r="AP40" s="28">
        <v>177.0</v>
      </c>
      <c r="AQ40" s="26">
        <v>1132.0</v>
      </c>
      <c r="AR40" s="26">
        <v>878.0</v>
      </c>
      <c r="AS40" s="26">
        <v>756.0</v>
      </c>
      <c r="AT40" s="26">
        <v>892.0</v>
      </c>
      <c r="AU40" s="26">
        <v>69.0</v>
      </c>
      <c r="AV40" s="27">
        <v>0.8610478359908884</v>
      </c>
      <c r="AW40" s="26">
        <v>5.0</v>
      </c>
      <c r="AX40" s="26">
        <v>5.0</v>
      </c>
      <c r="AY40" s="26">
        <v>8.0</v>
      </c>
      <c r="AZ40" s="26">
        <v>8.0</v>
      </c>
      <c r="BA40" s="26">
        <v>5.0</v>
      </c>
      <c r="BB40" s="26">
        <v>5.0</v>
      </c>
      <c r="BC40" s="27">
        <v>0.11594202898550725</v>
      </c>
      <c r="BD40" s="26">
        <v>0.0</v>
      </c>
      <c r="BE40" s="26">
        <v>0.0</v>
      </c>
      <c r="BF40" s="26">
        <v>0.0</v>
      </c>
      <c r="BG40" s="26">
        <v>0.0</v>
      </c>
      <c r="BH40" s="26">
        <v>0.0</v>
      </c>
      <c r="BI40" s="26">
        <v>0.0</v>
      </c>
    </row>
    <row r="41" spans="1:61" ht="19.15" customHeight="1">
      <c r="A41" s="2"/>
      <c r="B41" s="8"/>
      <c r="C41" s="8" t="s">
        <v>137</v>
      </c>
      <c r="D41" s="15">
        <v>404.0</v>
      </c>
      <c r="E41" s="15">
        <v>1125.0</v>
      </c>
      <c r="F41" s="15">
        <v>1392.0</v>
      </c>
      <c r="G41" s="15">
        <v>1230.0</v>
      </c>
      <c r="H41" s="15">
        <v>1230.0</v>
      </c>
      <c r="I41" s="15">
        <v>0.0</v>
      </c>
      <c r="J41" s="15">
        <v>0.0</v>
      </c>
      <c r="K41" s="15">
        <v>162.0</v>
      </c>
      <c r="L41" s="15">
        <v>1030.0</v>
      </c>
      <c r="M41" s="16">
        <v>0.8081896551724138</v>
      </c>
      <c r="N41" s="16">
        <v>0.8836206896551724</v>
      </c>
      <c r="O41" s="16">
        <v>0.8836206896551724</v>
      </c>
      <c r="P41" s="16">
        <v>0.11637931034482758</v>
      </c>
      <c r="Q41" s="16">
        <v>0.7399425287356322</v>
      </c>
      <c r="R41" s="8">
        <v>7.0</v>
      </c>
      <c r="S41" s="8">
        <v>0.0</v>
      </c>
      <c r="T41" s="16">
        <f>IFERROR(S41/R41,"")</f>
        <v>0.0</v>
      </c>
      <c r="U41" s="8">
        <v>7.0</v>
      </c>
      <c r="V41" s="16">
        <v>1.0</v>
      </c>
      <c r="W41" s="16">
        <v>1.0</v>
      </c>
      <c r="X41" s="31">
        <v>7.0</v>
      </c>
      <c r="Y41" s="16">
        <v>1.0</v>
      </c>
      <c r="Z41" s="16">
        <v>0.0</v>
      </c>
      <c r="AA41" s="8">
        <v>12.0</v>
      </c>
      <c r="AB41" s="16">
        <v>1.125</v>
      </c>
      <c r="AC41" s="15">
        <v>1.0</v>
      </c>
      <c r="AD41" s="16">
        <f>IFERROR(AC41/AA41,"")</f>
        <v>0.08333333333333333</v>
      </c>
      <c r="AE41" s="16">
        <v>1.0</v>
      </c>
      <c r="AF41" s="31">
        <v>11.0</v>
      </c>
      <c r="AG41" s="16">
        <v>0.9166666666666666</v>
      </c>
      <c r="AH41" s="8">
        <v>14.0</v>
      </c>
      <c r="AI41" s="8">
        <v>2.0</v>
      </c>
      <c r="AJ41" s="16">
        <f>IFERROR(AI41/AH41,"")</f>
        <v>0.14285714285714285</v>
      </c>
      <c r="AK41" s="16">
        <v>0.9375</v>
      </c>
      <c r="AL41" s="16">
        <v>0.8571428571428571</v>
      </c>
      <c r="AM41" s="16">
        <v>0.21428571428571427</v>
      </c>
      <c r="AN41" s="8">
        <v>0.0</v>
      </c>
      <c r="AO41" s="22"/>
      <c r="AP41" s="28">
        <v>256.0</v>
      </c>
      <c r="AQ41" s="26">
        <v>1609.0</v>
      </c>
      <c r="AR41" s="26">
        <v>1195.0</v>
      </c>
      <c r="AS41" s="26">
        <v>1072.0</v>
      </c>
      <c r="AT41" s="26">
        <v>1259.0</v>
      </c>
      <c r="AU41" s="26">
        <v>160.0</v>
      </c>
      <c r="AV41" s="27">
        <v>0.897071129707113</v>
      </c>
      <c r="AW41" s="26">
        <v>3.0</v>
      </c>
      <c r="AX41" s="26">
        <v>4.0</v>
      </c>
      <c r="AY41" s="26">
        <v>30.0</v>
      </c>
      <c r="AZ41" s="26">
        <v>46.0</v>
      </c>
      <c r="BA41" s="26">
        <v>35.0</v>
      </c>
      <c r="BB41" s="26">
        <v>35.0</v>
      </c>
      <c r="BC41" s="27">
        <v>0.2875</v>
      </c>
      <c r="BD41" s="26">
        <v>0.0</v>
      </c>
      <c r="BE41" s="26">
        <v>0.0</v>
      </c>
      <c r="BF41" s="26">
        <v>0.0</v>
      </c>
      <c r="BG41" s="26">
        <v>0.0</v>
      </c>
      <c r="BH41" s="26">
        <v>0.0</v>
      </c>
      <c r="BI41" s="26">
        <v>0.0</v>
      </c>
    </row>
    <row r="42" spans="1:61" ht="19.15" customHeight="1">
      <c r="A42" s="2"/>
      <c r="B42" s="8"/>
      <c r="C42" s="8" t="s">
        <v>138</v>
      </c>
      <c r="D42" s="15">
        <v>406.0</v>
      </c>
      <c r="E42" s="15">
        <v>1077.0</v>
      </c>
      <c r="F42" s="15">
        <v>1322.0</v>
      </c>
      <c r="G42" s="15">
        <v>1202.0</v>
      </c>
      <c r="H42" s="15">
        <v>1202.0</v>
      </c>
      <c r="I42" s="15">
        <v>0.0</v>
      </c>
      <c r="J42" s="15">
        <v>0.0</v>
      </c>
      <c r="K42" s="15">
        <v>120.0</v>
      </c>
      <c r="L42" s="15">
        <v>986.0</v>
      </c>
      <c r="M42" s="16">
        <v>0.8146747352496218</v>
      </c>
      <c r="N42" s="16">
        <v>0.9092284417549168</v>
      </c>
      <c r="O42" s="16">
        <v>0.9092284417549168</v>
      </c>
      <c r="P42" s="16">
        <v>0.0907715582450832</v>
      </c>
      <c r="Q42" s="16">
        <v>0.745839636913767</v>
      </c>
      <c r="R42" s="8">
        <v>10.0</v>
      </c>
      <c r="S42" s="8">
        <v>0.0</v>
      </c>
      <c r="T42" s="16">
        <f>IFERROR(S42/R42,"")</f>
        <v>0.0</v>
      </c>
      <c r="U42" s="8">
        <v>10.0</v>
      </c>
      <c r="V42" s="16">
        <v>0.9</v>
      </c>
      <c r="W42" s="16">
        <v>0.9</v>
      </c>
      <c r="X42" s="31">
        <v>9.0</v>
      </c>
      <c r="Y42" s="16">
        <v>0.9</v>
      </c>
      <c r="Z42" s="16">
        <v>0.0</v>
      </c>
      <c r="AA42" s="8">
        <v>10.0</v>
      </c>
      <c r="AB42" s="16">
        <v>1.1</v>
      </c>
      <c r="AC42" s="15">
        <v>0.0</v>
      </c>
      <c r="AD42" s="16">
        <f>IFERROR(AC42/AA42,"")</f>
        <v>0.0</v>
      </c>
      <c r="AE42" s="16">
        <v>0.9</v>
      </c>
      <c r="AF42" s="31">
        <v>7.0</v>
      </c>
      <c r="AG42" s="16">
        <v>0.7</v>
      </c>
      <c r="AH42" s="8">
        <v>10.0</v>
      </c>
      <c r="AI42" s="8">
        <v>0.0</v>
      </c>
      <c r="AJ42" s="16">
        <f>IFERROR(AI42/AH42,"")</f>
        <v>0.0</v>
      </c>
      <c r="AK42" s="16">
        <v>0.85</v>
      </c>
      <c r="AL42" s="16">
        <v>0.9</v>
      </c>
      <c r="AM42" s="16">
        <v>0.3</v>
      </c>
      <c r="AN42" s="8">
        <v>0.0</v>
      </c>
      <c r="AO42" s="22"/>
      <c r="AP42" s="28">
        <v>253.0</v>
      </c>
      <c r="AQ42" s="26">
        <v>1574.0</v>
      </c>
      <c r="AR42" s="26">
        <v>1195.0</v>
      </c>
      <c r="AS42" s="26">
        <v>1043.0</v>
      </c>
      <c r="AT42" s="26">
        <v>1246.0</v>
      </c>
      <c r="AU42" s="26">
        <v>118.0</v>
      </c>
      <c r="AV42" s="27">
        <v>0.8728033472803347</v>
      </c>
      <c r="AW42" s="26">
        <v>3.0</v>
      </c>
      <c r="AX42" s="26">
        <v>4.0</v>
      </c>
      <c r="AY42" s="26">
        <v>12.0</v>
      </c>
      <c r="AZ42" s="26">
        <v>12.0</v>
      </c>
      <c r="BA42" s="26">
        <v>8.0</v>
      </c>
      <c r="BB42" s="26">
        <v>8.0</v>
      </c>
      <c r="BC42" s="27">
        <v>0.1016949152542373</v>
      </c>
      <c r="BD42" s="26">
        <v>0.0</v>
      </c>
      <c r="BE42" s="26">
        <v>0.0</v>
      </c>
      <c r="BF42" s="26">
        <v>0.0</v>
      </c>
      <c r="BG42" s="26">
        <v>0.0</v>
      </c>
      <c r="BH42" s="26">
        <v>0.0</v>
      </c>
      <c r="BI42" s="26">
        <v>0.0</v>
      </c>
    </row>
    <row r="43" spans="1:61" ht="19.15" customHeight="1">
      <c r="A43" s="2"/>
      <c r="B43" s="8"/>
      <c r="C43" s="8" t="s">
        <v>139</v>
      </c>
      <c r="D43" s="15">
        <v>81.0</v>
      </c>
      <c r="E43" s="15">
        <v>222.0</v>
      </c>
      <c r="F43" s="15">
        <v>274.0</v>
      </c>
      <c r="G43" s="15">
        <v>254.0</v>
      </c>
      <c r="H43" s="15">
        <v>254.0</v>
      </c>
      <c r="I43" s="15">
        <v>0.0</v>
      </c>
      <c r="J43" s="15">
        <v>0.0</v>
      </c>
      <c r="K43" s="15">
        <v>20.0</v>
      </c>
      <c r="L43" s="15">
        <v>204.0</v>
      </c>
      <c r="M43" s="16">
        <v>0.8102189781021898</v>
      </c>
      <c r="N43" s="16">
        <v>0.927007299270073</v>
      </c>
      <c r="O43" s="16">
        <v>0.927007299270073</v>
      </c>
      <c r="P43" s="16">
        <v>0.072992700729927</v>
      </c>
      <c r="Q43" s="16">
        <v>0.7445255474452555</v>
      </c>
      <c r="R43" s="8">
        <v>2.0</v>
      </c>
      <c r="S43" s="8">
        <v>0.0</v>
      </c>
      <c r="T43" s="16">
        <f>IFERROR(S43/R43,"")</f>
        <v>0.0</v>
      </c>
      <c r="U43" s="8">
        <v>2.0</v>
      </c>
      <c r="V43" s="16">
        <v>1.0</v>
      </c>
      <c r="W43" s="16">
        <v>1.0</v>
      </c>
      <c r="X43" s="31">
        <v>2.0</v>
      </c>
      <c r="Y43" s="16">
        <v>1.0</v>
      </c>
      <c r="Z43" s="16">
        <v>0.0</v>
      </c>
      <c r="AA43" s="8">
        <v>2.0</v>
      </c>
      <c r="AB43" s="16">
        <v>1.0</v>
      </c>
      <c r="AC43" s="15">
        <v>0.0</v>
      </c>
      <c r="AD43" s="16">
        <f>IFERROR(AC43/AA43,"")</f>
        <v>0.0</v>
      </c>
      <c r="AE43" s="16">
        <v>1.0</v>
      </c>
      <c r="AF43" s="31">
        <v>1.0</v>
      </c>
      <c r="AG43" s="16">
        <v>0.5</v>
      </c>
      <c r="AH43" s="8">
        <v>2.0</v>
      </c>
      <c r="AI43" s="8">
        <v>0.0</v>
      </c>
      <c r="AJ43" s="16">
        <f>IFERROR(AI43/AH43,"")</f>
        <v>0.0</v>
      </c>
      <c r="AK43" s="16">
        <v>1.0</v>
      </c>
      <c r="AL43" s="16">
        <v>1.0</v>
      </c>
      <c r="AM43" s="16">
        <v>0.5</v>
      </c>
      <c r="AN43" s="8">
        <v>0.0</v>
      </c>
      <c r="AO43" s="22"/>
      <c r="AP43" s="28">
        <v>52.0</v>
      </c>
      <c r="AQ43" s="26">
        <v>333.0</v>
      </c>
      <c r="AR43" s="26">
        <v>251.0</v>
      </c>
      <c r="AS43" s="26">
        <v>203.0</v>
      </c>
      <c r="AT43" s="26">
        <v>255.0</v>
      </c>
      <c r="AU43" s="26">
        <v>20.0</v>
      </c>
      <c r="AV43" s="27">
        <v>0.8087649402390438</v>
      </c>
      <c r="AW43" s="26">
        <v>0.0</v>
      </c>
      <c r="AX43" s="26">
        <v>0.0</v>
      </c>
      <c r="AY43" s="26">
        <v>3.0</v>
      </c>
      <c r="AZ43" s="26">
        <v>3.0</v>
      </c>
      <c r="BA43" s="26">
        <v>3.0</v>
      </c>
      <c r="BB43" s="26">
        <v>3.0</v>
      </c>
      <c r="BC43" s="27">
        <v>0.15</v>
      </c>
      <c r="BD43" s="26">
        <v>0.0</v>
      </c>
      <c r="BE43" s="26">
        <v>0.0</v>
      </c>
      <c r="BF43" s="26">
        <v>0.0</v>
      </c>
      <c r="BG43" s="26">
        <v>0.0</v>
      </c>
      <c r="BH43" s="26">
        <v>0.0</v>
      </c>
      <c r="BI43" s="26">
        <v>0.0</v>
      </c>
    </row>
    <row r="44" spans="1:61" ht="19.15" customHeight="1">
      <c r="A44" s="2"/>
      <c r="B44" s="8" t="s">
        <v>107</v>
      </c>
      <c r="C44" s="8" t="s">
        <v>140</v>
      </c>
      <c r="D44" s="15">
        <v>422.0</v>
      </c>
      <c r="E44" s="15">
        <v>1166.0</v>
      </c>
      <c r="F44" s="15">
        <v>1420.0</v>
      </c>
      <c r="G44" s="15">
        <v>1273.0</v>
      </c>
      <c r="H44" s="15">
        <v>1273.0</v>
      </c>
      <c r="I44" s="15">
        <v>0.0</v>
      </c>
      <c r="J44" s="15">
        <v>0.0</v>
      </c>
      <c r="K44" s="15">
        <v>147.0</v>
      </c>
      <c r="L44" s="15">
        <v>1047.0</v>
      </c>
      <c r="M44" s="16">
        <v>0.8211267605633803</v>
      </c>
      <c r="N44" s="16">
        <v>0.8964788732394366</v>
      </c>
      <c r="O44" s="16">
        <v>0.8964788732394366</v>
      </c>
      <c r="P44" s="16">
        <v>0.10352112676056338</v>
      </c>
      <c r="Q44" s="16">
        <v>0.7373239436619718</v>
      </c>
      <c r="R44" s="8">
        <v>12.0</v>
      </c>
      <c r="S44" s="8">
        <v>0.0</v>
      </c>
      <c r="T44" s="16">
        <f>IFERROR(S44/R44,"")</f>
        <v>0.0</v>
      </c>
      <c r="U44" s="8">
        <v>12.0</v>
      </c>
      <c r="V44" s="16">
        <v>1.0</v>
      </c>
      <c r="W44" s="16">
        <v>1.0</v>
      </c>
      <c r="X44" s="31">
        <v>12.0</v>
      </c>
      <c r="Y44" s="16">
        <v>1.0</v>
      </c>
      <c r="Z44" s="16">
        <v>0.0</v>
      </c>
      <c r="AA44" s="8">
        <v>8.0</v>
      </c>
      <c r="AB44" s="16">
        <v>1.125</v>
      </c>
      <c r="AC44" s="15">
        <v>0.0</v>
      </c>
      <c r="AD44" s="16">
        <f>IFERROR(AC44/AA44,"")</f>
        <v>0.0</v>
      </c>
      <c r="AE44" s="16">
        <v>1.0</v>
      </c>
      <c r="AF44" s="31">
        <v>8.0</v>
      </c>
      <c r="AG44" s="16">
        <v>1.0</v>
      </c>
      <c r="AH44" s="8">
        <v>7.0</v>
      </c>
      <c r="AI44" s="8">
        <v>0.0</v>
      </c>
      <c r="AJ44" s="16">
        <f>IFERROR(AI44/AH44,"")</f>
        <v>0.0</v>
      </c>
      <c r="AK44" s="16">
        <v>1.0</v>
      </c>
      <c r="AL44" s="16">
        <v>0.5714285714285714</v>
      </c>
      <c r="AM44" s="16">
        <v>0.2857142857142857</v>
      </c>
      <c r="AN44" s="8">
        <v>0.0</v>
      </c>
      <c r="AO44" s="22"/>
      <c r="AP44" s="28">
        <v>278.0</v>
      </c>
      <c r="AQ44" s="26">
        <v>1698.0</v>
      </c>
      <c r="AR44" s="26">
        <v>1269.0</v>
      </c>
      <c r="AS44" s="26">
        <v>1102.0</v>
      </c>
      <c r="AT44" s="26">
        <v>1329.0</v>
      </c>
      <c r="AU44" s="26">
        <v>146.0</v>
      </c>
      <c r="AV44" s="27">
        <v>0.8684003152088259</v>
      </c>
      <c r="AW44" s="26">
        <v>7.0</v>
      </c>
      <c r="AX44" s="26">
        <v>7.0</v>
      </c>
      <c r="AY44" s="26">
        <v>10.0</v>
      </c>
      <c r="AZ44" s="26">
        <v>11.0</v>
      </c>
      <c r="BA44" s="26">
        <v>11.0</v>
      </c>
      <c r="BB44" s="26">
        <v>10.0</v>
      </c>
      <c r="BC44" s="27">
        <v>0.07534246575342465</v>
      </c>
      <c r="BD44" s="26">
        <v>0.0</v>
      </c>
      <c r="BE44" s="26">
        <v>0.0</v>
      </c>
      <c r="BF44" s="26">
        <v>0.0</v>
      </c>
      <c r="BG44" s="26">
        <v>0.0</v>
      </c>
      <c r="BH44" s="26">
        <v>0.0</v>
      </c>
      <c r="BI44" s="26">
        <v>0.0</v>
      </c>
    </row>
    <row r="45" spans="1:61" ht="19.15" customHeight="1">
      <c r="A45" s="2"/>
      <c r="B45" s="8"/>
      <c r="C45" s="8" t="s">
        <v>141</v>
      </c>
      <c r="D45" s="15">
        <v>131.0</v>
      </c>
      <c r="E45" s="15">
        <v>346.0</v>
      </c>
      <c r="F45" s="15">
        <v>428.0</v>
      </c>
      <c r="G45" s="15">
        <v>374.0</v>
      </c>
      <c r="H45" s="15">
        <v>374.0</v>
      </c>
      <c r="I45" s="15">
        <v>0.0</v>
      </c>
      <c r="J45" s="15">
        <v>0.0</v>
      </c>
      <c r="K45" s="15">
        <v>54.0</v>
      </c>
      <c r="L45" s="15">
        <v>284.0</v>
      </c>
      <c r="M45" s="16">
        <v>0.8084112149532711</v>
      </c>
      <c r="N45" s="16">
        <v>0.8738317757009346</v>
      </c>
      <c r="O45" s="16">
        <v>0.8738317757009346</v>
      </c>
      <c r="P45" s="16">
        <v>0.1261682242990654</v>
      </c>
      <c r="Q45" s="16">
        <v>0.6635514018691588</v>
      </c>
      <c r="R45" s="8">
        <v>1.0</v>
      </c>
      <c r="S45" s="8">
        <v>0.0</v>
      </c>
      <c r="T45" s="16">
        <f>IFERROR(S45/R45,"")</f>
        <v>0.0</v>
      </c>
      <c r="U45" s="8">
        <v>1.0</v>
      </c>
      <c r="V45" s="16">
        <v>1.0</v>
      </c>
      <c r="W45" s="16">
        <v>1.0</v>
      </c>
      <c r="X45" s="31">
        <v>1.0</v>
      </c>
      <c r="Y45" s="16">
        <v>1.0</v>
      </c>
      <c r="Z45" s="16">
        <v>0.0</v>
      </c>
      <c r="AA45" s="8">
        <v>0.0</v>
      </c>
      <c r="AB45" s="16"/>
      <c r="AC45" s="15"/>
      <c r="AD45" s="16" t="str">
        <f>IFERROR(AC45/AA45,"")</f>
        <v/>
      </c>
      <c r="AE45" s="16"/>
      <c r="AF45" s="31"/>
      <c r="AG45" s="16"/>
      <c r="AH45" s="8">
        <v>0.0</v>
      </c>
      <c r="AI45" s="8"/>
      <c r="AJ45" s="16" t="str">
        <f>IFERROR(AI45/AH45,"")</f>
        <v/>
      </c>
      <c r="AK45" s="16"/>
      <c r="AL45" s="16"/>
      <c r="AM45" s="16"/>
      <c r="AN45" s="8">
        <v>0.0</v>
      </c>
      <c r="AO45" s="22"/>
      <c r="AP45" s="28">
        <v>85.0</v>
      </c>
      <c r="AQ45" s="26">
        <v>513.0</v>
      </c>
      <c r="AR45" s="26">
        <v>368.0</v>
      </c>
      <c r="AS45" s="26">
        <v>326.0</v>
      </c>
      <c r="AT45" s="26">
        <v>389.0</v>
      </c>
      <c r="AU45" s="26">
        <v>54.0</v>
      </c>
      <c r="AV45" s="27">
        <v>0.8858695652173914</v>
      </c>
      <c r="AW45" s="26">
        <v>2.0</v>
      </c>
      <c r="AX45" s="26">
        <v>2.0</v>
      </c>
      <c r="AY45" s="26">
        <v>6.0</v>
      </c>
      <c r="AZ45" s="26">
        <v>7.0</v>
      </c>
      <c r="BA45" s="26">
        <v>6.0</v>
      </c>
      <c r="BB45" s="26">
        <v>6.0</v>
      </c>
      <c r="BC45" s="27">
        <v>0.12962962962962962</v>
      </c>
      <c r="BD45" s="26">
        <v>0.0</v>
      </c>
      <c r="BE45" s="26">
        <v>0.0</v>
      </c>
      <c r="BF45" s="26">
        <v>0.0</v>
      </c>
      <c r="BG45" s="26">
        <v>0.0</v>
      </c>
      <c r="BH45" s="26">
        <v>0.0</v>
      </c>
      <c r="BI45" s="26">
        <v>0.0</v>
      </c>
    </row>
    <row r="46" spans="1:61" ht="19.15" customHeight="1">
      <c r="A46" s="2"/>
      <c r="B46" s="8"/>
      <c r="C46" s="8" t="s">
        <v>142</v>
      </c>
      <c r="D46" s="15">
        <v>664.0</v>
      </c>
      <c r="E46" s="15">
        <v>1896.0</v>
      </c>
      <c r="F46" s="15">
        <v>2238.0</v>
      </c>
      <c r="G46" s="15">
        <v>2061.0</v>
      </c>
      <c r="H46" s="15">
        <v>2061.0</v>
      </c>
      <c r="I46" s="15">
        <v>0.0</v>
      </c>
      <c r="J46" s="15">
        <v>0.0</v>
      </c>
      <c r="K46" s="15">
        <v>177.0</v>
      </c>
      <c r="L46" s="15">
        <v>1779.0</v>
      </c>
      <c r="M46" s="16">
        <v>0.8471849865951743</v>
      </c>
      <c r="N46" s="16">
        <v>0.920911528150134</v>
      </c>
      <c r="O46" s="16">
        <v>0.920911528150134</v>
      </c>
      <c r="P46" s="16">
        <v>0.07908847184986595</v>
      </c>
      <c r="Q46" s="16">
        <v>0.7949061662198391</v>
      </c>
      <c r="R46" s="8">
        <v>17.0</v>
      </c>
      <c r="S46" s="8">
        <v>1.0</v>
      </c>
      <c r="T46" s="16">
        <f>IFERROR(S46/R46,"")</f>
        <v>0.058823529411764705</v>
      </c>
      <c r="U46" s="8">
        <v>16.0</v>
      </c>
      <c r="V46" s="16">
        <v>0.9411764705882353</v>
      </c>
      <c r="W46" s="16">
        <v>1.0</v>
      </c>
      <c r="X46" s="31">
        <v>15.0</v>
      </c>
      <c r="Y46" s="16">
        <v>0.9375</v>
      </c>
      <c r="Z46" s="16">
        <v>0.0</v>
      </c>
      <c r="AA46" s="8">
        <v>18.0</v>
      </c>
      <c r="AB46" s="16">
        <v>1.0694444444444444</v>
      </c>
      <c r="AC46" s="15">
        <v>0.0</v>
      </c>
      <c r="AD46" s="16">
        <f>IFERROR(AC46/AA46,"")</f>
        <v>0.0</v>
      </c>
      <c r="AE46" s="16">
        <v>0.7777777777777778</v>
      </c>
      <c r="AF46" s="31">
        <v>14.0</v>
      </c>
      <c r="AG46" s="16">
        <v>0.7777777777777778</v>
      </c>
      <c r="AH46" s="8">
        <v>14.0</v>
      </c>
      <c r="AI46" s="8">
        <v>0.0</v>
      </c>
      <c r="AJ46" s="16">
        <f>IFERROR(AI46/AH46,"")</f>
        <v>0.0</v>
      </c>
      <c r="AK46" s="16">
        <v>0.9553571428571429</v>
      </c>
      <c r="AL46" s="16">
        <v>0.7857142857142857</v>
      </c>
      <c r="AM46" s="16">
        <v>0.14285714285714285</v>
      </c>
      <c r="AN46" s="8">
        <v>0.0</v>
      </c>
      <c r="AO46" s="22"/>
      <c r="AP46" s="28">
        <v>423.0</v>
      </c>
      <c r="AQ46" s="26">
        <v>2608.0</v>
      </c>
      <c r="AR46" s="26">
        <v>2028.0</v>
      </c>
      <c r="AS46" s="26">
        <v>1767.0</v>
      </c>
      <c r="AT46" s="26">
        <v>2094.0</v>
      </c>
      <c r="AU46" s="26">
        <v>175.0</v>
      </c>
      <c r="AV46" s="27">
        <v>0.871301775147929</v>
      </c>
      <c r="AW46" s="26">
        <v>5.0</v>
      </c>
      <c r="AX46" s="26">
        <v>5.0</v>
      </c>
      <c r="AY46" s="26">
        <v>33.0</v>
      </c>
      <c r="AZ46" s="26">
        <v>39.0</v>
      </c>
      <c r="BA46" s="26">
        <v>34.0</v>
      </c>
      <c r="BB46" s="26">
        <v>34.0</v>
      </c>
      <c r="BC46" s="27">
        <v>0.22285714285714286</v>
      </c>
      <c r="BD46" s="26">
        <v>0.0</v>
      </c>
      <c r="BE46" s="26">
        <v>0.0</v>
      </c>
      <c r="BF46" s="26">
        <v>0.0</v>
      </c>
      <c r="BG46" s="26">
        <v>0.0</v>
      </c>
      <c r="BH46" s="26">
        <v>0.0</v>
      </c>
      <c r="BI46" s="26">
        <v>0.0</v>
      </c>
    </row>
    <row r="47" spans="1:61" ht="19.15" customHeight="1">
      <c r="A47" s="2"/>
      <c r="B47" s="8"/>
      <c r="C47" s="8" t="s">
        <v>143</v>
      </c>
      <c r="D47" s="15">
        <v>430.0</v>
      </c>
      <c r="E47" s="15">
        <v>1138.0</v>
      </c>
      <c r="F47" s="15">
        <v>1444.0</v>
      </c>
      <c r="G47" s="15">
        <v>1285.0</v>
      </c>
      <c r="H47" s="15">
        <v>1285.0</v>
      </c>
      <c r="I47" s="15">
        <v>0.0</v>
      </c>
      <c r="J47" s="15">
        <v>0.0</v>
      </c>
      <c r="K47" s="15">
        <v>159.0</v>
      </c>
      <c r="L47" s="15">
        <v>1036.0</v>
      </c>
      <c r="M47" s="16">
        <v>0.7880886426592798</v>
      </c>
      <c r="N47" s="16">
        <v>0.8898891966759003</v>
      </c>
      <c r="O47" s="16">
        <v>0.8898891966759003</v>
      </c>
      <c r="P47" s="16">
        <v>0.11011080332409973</v>
      </c>
      <c r="Q47" s="16">
        <v>0.7174515235457064</v>
      </c>
      <c r="R47" s="8">
        <v>15.0</v>
      </c>
      <c r="S47" s="8">
        <v>1.0</v>
      </c>
      <c r="T47" s="16">
        <f>IFERROR(S47/R47,"")</f>
        <v>0.06666666666666667</v>
      </c>
      <c r="U47" s="8">
        <v>14.0</v>
      </c>
      <c r="V47" s="16">
        <v>0.8666666666666667</v>
      </c>
      <c r="W47" s="16">
        <v>1.0</v>
      </c>
      <c r="X47" s="31">
        <v>14.0</v>
      </c>
      <c r="Y47" s="16">
        <v>1.0</v>
      </c>
      <c r="Z47" s="16">
        <v>0.0</v>
      </c>
      <c r="AA47" s="8">
        <v>8.0</v>
      </c>
      <c r="AB47" s="16">
        <v>0.8125</v>
      </c>
      <c r="AC47" s="15">
        <v>0.0</v>
      </c>
      <c r="AD47" s="16">
        <f>IFERROR(AC47/AA47,"")</f>
        <v>0.0</v>
      </c>
      <c r="AE47" s="16">
        <v>1.0</v>
      </c>
      <c r="AF47" s="31">
        <v>8.0</v>
      </c>
      <c r="AG47" s="16">
        <v>1.0</v>
      </c>
      <c r="AH47" s="8">
        <v>5.0</v>
      </c>
      <c r="AI47" s="8">
        <v>0.0</v>
      </c>
      <c r="AJ47" s="16">
        <f>IFERROR(AI47/AH47,"")</f>
        <v>0.0</v>
      </c>
      <c r="AK47" s="16">
        <v>0.9</v>
      </c>
      <c r="AL47" s="16">
        <v>1.0</v>
      </c>
      <c r="AM47" s="16">
        <v>0.4</v>
      </c>
      <c r="AN47" s="8">
        <v>0.0</v>
      </c>
      <c r="AO47" s="22"/>
      <c r="AP47" s="28">
        <v>274.0</v>
      </c>
      <c r="AQ47" s="26">
        <v>1698.0</v>
      </c>
      <c r="AR47" s="26">
        <v>1253.0</v>
      </c>
      <c r="AS47" s="26">
        <v>1087.0</v>
      </c>
      <c r="AT47" s="26">
        <v>1303.0</v>
      </c>
      <c r="AU47" s="26">
        <v>155.0</v>
      </c>
      <c r="AV47" s="27">
        <v>0.8675179569034318</v>
      </c>
      <c r="AW47" s="26">
        <v>2.0</v>
      </c>
      <c r="AX47" s="26">
        <v>3.0</v>
      </c>
      <c r="AY47" s="26">
        <v>28.0</v>
      </c>
      <c r="AZ47" s="26">
        <v>42.0</v>
      </c>
      <c r="BA47" s="26">
        <v>34.0</v>
      </c>
      <c r="BB47" s="26">
        <v>33.0</v>
      </c>
      <c r="BC47" s="27">
        <v>0.2709677419354839</v>
      </c>
      <c r="BD47" s="26">
        <v>0.0</v>
      </c>
      <c r="BE47" s="26">
        <v>0.0</v>
      </c>
      <c r="BF47" s="26">
        <v>0.0</v>
      </c>
      <c r="BG47" s="26">
        <v>0.0</v>
      </c>
      <c r="BH47" s="26">
        <v>0.0</v>
      </c>
      <c r="BI47" s="26">
        <v>0.0</v>
      </c>
    </row>
    <row r="48" spans="1:61" ht="19.15" customHeight="1">
      <c r="A48" s="2"/>
      <c r="B48" s="8"/>
      <c r="C48" s="8" t="s">
        <v>144</v>
      </c>
      <c r="D48" s="15">
        <v>100.0</v>
      </c>
      <c r="E48" s="15">
        <v>298.0</v>
      </c>
      <c r="F48" s="15">
        <v>365.0</v>
      </c>
      <c r="G48" s="15">
        <v>321.0</v>
      </c>
      <c r="H48" s="15">
        <v>321.0</v>
      </c>
      <c r="I48" s="15">
        <v>0.0</v>
      </c>
      <c r="J48" s="15">
        <v>0.0</v>
      </c>
      <c r="K48" s="15">
        <v>44.0</v>
      </c>
      <c r="L48" s="15">
        <v>267.0</v>
      </c>
      <c r="M48" s="16">
        <v>0.8164383561643835</v>
      </c>
      <c r="N48" s="16">
        <v>0.8794520547945206</v>
      </c>
      <c r="O48" s="16">
        <v>0.8794520547945206</v>
      </c>
      <c r="P48" s="16">
        <v>0.12054794520547946</v>
      </c>
      <c r="Q48" s="16">
        <v>0.7315068493150685</v>
      </c>
      <c r="R48" s="8">
        <v>1.0</v>
      </c>
      <c r="S48" s="8">
        <v>0.0</v>
      </c>
      <c r="T48" s="16">
        <f>IFERROR(S48/R48,"")</f>
        <v>0.0</v>
      </c>
      <c r="U48" s="8">
        <v>1.0</v>
      </c>
      <c r="V48" s="16">
        <v>1.0</v>
      </c>
      <c r="W48" s="16">
        <v>1.0</v>
      </c>
      <c r="X48" s="31">
        <v>1.0</v>
      </c>
      <c r="Y48" s="16">
        <v>1.0</v>
      </c>
      <c r="Z48" s="16">
        <v>0.0</v>
      </c>
      <c r="AA48" s="8">
        <v>0.0</v>
      </c>
      <c r="AB48" s="16"/>
      <c r="AC48" s="15"/>
      <c r="AD48" s="16" t="str">
        <f>IFERROR(AC48/AA48,"")</f>
        <v/>
      </c>
      <c r="AE48" s="16"/>
      <c r="AF48" s="31"/>
      <c r="AG48" s="16"/>
      <c r="AH48" s="8">
        <v>0.0</v>
      </c>
      <c r="AI48" s="8"/>
      <c r="AJ48" s="16" t="str">
        <f>IFERROR(AI48/AH48,"")</f>
        <v/>
      </c>
      <c r="AK48" s="16"/>
      <c r="AL48" s="16"/>
      <c r="AM48" s="16"/>
      <c r="AN48" s="8">
        <v>0.0</v>
      </c>
      <c r="AO48" s="22"/>
      <c r="AP48" s="28">
        <v>68.0</v>
      </c>
      <c r="AQ48" s="26">
        <v>432.0</v>
      </c>
      <c r="AR48" s="26">
        <v>318.0</v>
      </c>
      <c r="AS48" s="26">
        <v>297.0</v>
      </c>
      <c r="AT48" s="26">
        <v>335.0</v>
      </c>
      <c r="AU48" s="26">
        <v>43.0</v>
      </c>
      <c r="AV48" s="27">
        <v>0.9339622641509434</v>
      </c>
      <c r="AW48" s="26">
        <v>1.0</v>
      </c>
      <c r="AX48" s="26">
        <v>1.0</v>
      </c>
      <c r="AY48" s="26">
        <v>4.0</v>
      </c>
      <c r="AZ48" s="26">
        <v>6.0</v>
      </c>
      <c r="BA48" s="26">
        <v>5.0</v>
      </c>
      <c r="BB48" s="26">
        <v>5.0</v>
      </c>
      <c r="BC48" s="27">
        <v>0.13953488372093023</v>
      </c>
      <c r="BD48" s="26">
        <v>0.0</v>
      </c>
      <c r="BE48" s="26">
        <v>0.0</v>
      </c>
      <c r="BF48" s="26">
        <v>0.0</v>
      </c>
      <c r="BG48" s="26">
        <v>0.0</v>
      </c>
      <c r="BH48" s="26">
        <v>0.0</v>
      </c>
      <c r="BI48" s="26">
        <v>0.0</v>
      </c>
    </row>
    <row r="49" spans="1:61" ht="19.15" customHeight="1">
      <c r="A49" s="2"/>
      <c r="B49" s="8"/>
      <c r="C49" s="8" t="s">
        <v>145</v>
      </c>
      <c r="D49" s="15">
        <v>585.0</v>
      </c>
      <c r="E49" s="15">
        <v>1626.0</v>
      </c>
      <c r="F49" s="15">
        <v>1952.0</v>
      </c>
      <c r="G49" s="15">
        <v>1787.0</v>
      </c>
      <c r="H49" s="15">
        <v>1786.0</v>
      </c>
      <c r="I49" s="15">
        <v>0.0</v>
      </c>
      <c r="J49" s="15">
        <v>1.0</v>
      </c>
      <c r="K49" s="15">
        <v>165.0</v>
      </c>
      <c r="L49" s="15">
        <v>1470.0</v>
      </c>
      <c r="M49" s="16">
        <v>0.8329918032786885</v>
      </c>
      <c r="N49" s="16">
        <v>0.9149590163934426</v>
      </c>
      <c r="O49" s="16">
        <v>0.9154713114754098</v>
      </c>
      <c r="P49" s="16">
        <v>0.08452868852459017</v>
      </c>
      <c r="Q49" s="16">
        <v>0.7530737704918032</v>
      </c>
      <c r="R49" s="8">
        <v>13.0</v>
      </c>
      <c r="S49" s="8">
        <v>0.0</v>
      </c>
      <c r="T49" s="16">
        <f>IFERROR(S49/R49,"")</f>
        <v>0.0</v>
      </c>
      <c r="U49" s="8">
        <v>12.0</v>
      </c>
      <c r="V49" s="16">
        <v>1.0</v>
      </c>
      <c r="W49" s="16">
        <v>1.0</v>
      </c>
      <c r="X49" s="31">
        <v>11.0</v>
      </c>
      <c r="Y49" s="16">
        <v>0.9166666666666666</v>
      </c>
      <c r="Z49" s="16">
        <v>0.0</v>
      </c>
      <c r="AA49" s="8">
        <v>12.0</v>
      </c>
      <c r="AB49" s="16">
        <v>0.9791666666666666</v>
      </c>
      <c r="AC49" s="15">
        <v>1.0</v>
      </c>
      <c r="AD49" s="16">
        <f>IFERROR(AC49/AA49,"")</f>
        <v>0.08333333333333333</v>
      </c>
      <c r="AE49" s="16">
        <v>1.0</v>
      </c>
      <c r="AF49" s="31">
        <v>12.0</v>
      </c>
      <c r="AG49" s="16">
        <v>1.0</v>
      </c>
      <c r="AH49" s="8">
        <v>9.0</v>
      </c>
      <c r="AI49" s="8">
        <v>1.0</v>
      </c>
      <c r="AJ49" s="16">
        <f>IFERROR(AI49/AH49,"")</f>
        <v>0.1111111111111111</v>
      </c>
      <c r="AK49" s="16">
        <v>0.7916666666666666</v>
      </c>
      <c r="AL49" s="16">
        <v>0.6666666666666666</v>
      </c>
      <c r="AM49" s="16">
        <v>0.2222222222222222</v>
      </c>
      <c r="AN49" s="8">
        <v>0.0</v>
      </c>
      <c r="AO49" s="22"/>
      <c r="AP49" s="28">
        <v>370.0</v>
      </c>
      <c r="AQ49" s="26">
        <v>2292.0</v>
      </c>
      <c r="AR49" s="26">
        <v>1772.0</v>
      </c>
      <c r="AS49" s="26">
        <v>1522.0</v>
      </c>
      <c r="AT49" s="26">
        <v>1834.0</v>
      </c>
      <c r="AU49" s="26">
        <v>162.0</v>
      </c>
      <c r="AV49" s="27">
        <v>0.8589164785553047</v>
      </c>
      <c r="AW49" s="26">
        <v>5.0</v>
      </c>
      <c r="AX49" s="26">
        <v>6.0</v>
      </c>
      <c r="AY49" s="26">
        <v>17.0</v>
      </c>
      <c r="AZ49" s="26">
        <v>20.0</v>
      </c>
      <c r="BA49" s="26">
        <v>16.0</v>
      </c>
      <c r="BB49" s="26">
        <v>16.0</v>
      </c>
      <c r="BC49" s="27">
        <v>0.12345679012345678</v>
      </c>
      <c r="BD49" s="26">
        <v>0.0</v>
      </c>
      <c r="BE49" s="26">
        <v>0.0</v>
      </c>
      <c r="BF49" s="26">
        <v>0.0</v>
      </c>
      <c r="BG49" s="26">
        <v>0.0</v>
      </c>
      <c r="BH49" s="26">
        <v>0.0</v>
      </c>
      <c r="BI49" s="26">
        <v>0.0</v>
      </c>
    </row>
    <row r="50" spans="1:61" ht="19.15" customHeight="1">
      <c r="A50" s="2"/>
      <c r="B50" s="8"/>
      <c r="C50" s="8" t="s">
        <v>146</v>
      </c>
      <c r="D50" s="15">
        <v>335.0</v>
      </c>
      <c r="E50" s="15">
        <v>903.0</v>
      </c>
      <c r="F50" s="15">
        <v>1096.0</v>
      </c>
      <c r="G50" s="15">
        <v>1009.0</v>
      </c>
      <c r="H50" s="15">
        <v>1009.0</v>
      </c>
      <c r="I50" s="15">
        <v>0.0</v>
      </c>
      <c r="J50" s="15">
        <v>0.0</v>
      </c>
      <c r="K50" s="15">
        <v>87.0</v>
      </c>
      <c r="L50" s="15">
        <v>806.0</v>
      </c>
      <c r="M50" s="16">
        <v>0.823905109489051</v>
      </c>
      <c r="N50" s="16">
        <v>0.9206204379562044</v>
      </c>
      <c r="O50" s="16">
        <v>0.9206204379562044</v>
      </c>
      <c r="P50" s="16">
        <v>0.07937956204379562</v>
      </c>
      <c r="Q50" s="16">
        <v>0.7354014598540146</v>
      </c>
      <c r="R50" s="8">
        <v>10.0</v>
      </c>
      <c r="S50" s="8">
        <v>0.0</v>
      </c>
      <c r="T50" s="16">
        <f>IFERROR(S50/R50,"")</f>
        <v>0.0</v>
      </c>
      <c r="U50" s="8">
        <v>10.0</v>
      </c>
      <c r="V50" s="16">
        <v>0.9</v>
      </c>
      <c r="W50" s="16">
        <v>1.0</v>
      </c>
      <c r="X50" s="31">
        <v>10.0</v>
      </c>
      <c r="Y50" s="16">
        <v>1.0</v>
      </c>
      <c r="Z50" s="16">
        <v>0.0</v>
      </c>
      <c r="AA50" s="8">
        <v>8.0</v>
      </c>
      <c r="AB50" s="16">
        <v>0.96875</v>
      </c>
      <c r="AC50" s="15">
        <v>0.0</v>
      </c>
      <c r="AD50" s="16">
        <f>IFERROR(AC50/AA50,"")</f>
        <v>0.0</v>
      </c>
      <c r="AE50" s="16">
        <v>1.0</v>
      </c>
      <c r="AF50" s="31">
        <v>8.0</v>
      </c>
      <c r="AG50" s="16">
        <v>1.0</v>
      </c>
      <c r="AH50" s="8">
        <v>8.0</v>
      </c>
      <c r="AI50" s="8">
        <v>0.0</v>
      </c>
      <c r="AJ50" s="16">
        <f>IFERROR(AI50/AH50,"")</f>
        <v>0.0</v>
      </c>
      <c r="AK50" s="16">
        <v>0.765625</v>
      </c>
      <c r="AL50" s="16">
        <v>0.875</v>
      </c>
      <c r="AM50" s="16">
        <v>0.5</v>
      </c>
      <c r="AN50" s="8">
        <v>0.0</v>
      </c>
      <c r="AO50" s="22"/>
      <c r="AP50" s="28">
        <v>209.0</v>
      </c>
      <c r="AQ50" s="26">
        <v>1281.0</v>
      </c>
      <c r="AR50" s="26">
        <v>997.0</v>
      </c>
      <c r="AS50" s="26">
        <v>890.0</v>
      </c>
      <c r="AT50" s="26">
        <v>1039.0</v>
      </c>
      <c r="AU50" s="26">
        <v>86.0</v>
      </c>
      <c r="AV50" s="27">
        <v>0.892678034102307</v>
      </c>
      <c r="AW50" s="26">
        <v>2.0</v>
      </c>
      <c r="AX50" s="26">
        <v>2.0</v>
      </c>
      <c r="AY50" s="26">
        <v>11.0</v>
      </c>
      <c r="AZ50" s="26">
        <v>14.0</v>
      </c>
      <c r="BA50" s="26">
        <v>13.0</v>
      </c>
      <c r="BB50" s="26">
        <v>13.0</v>
      </c>
      <c r="BC50" s="27">
        <v>0.16279069767441862</v>
      </c>
      <c r="BD50" s="26">
        <v>0.0</v>
      </c>
      <c r="BE50" s="26">
        <v>0.0</v>
      </c>
      <c r="BF50" s="26">
        <v>0.0</v>
      </c>
      <c r="BG50" s="26">
        <v>0.0</v>
      </c>
      <c r="BH50" s="26">
        <v>0.0</v>
      </c>
      <c r="BI50" s="26">
        <v>0.0</v>
      </c>
    </row>
    <row r="51" spans="1:61" ht="19.15" customHeight="1">
      <c r="A51" s="2"/>
      <c r="B51" s="8"/>
      <c r="C51" s="8" t="s">
        <v>147</v>
      </c>
      <c r="D51" s="15">
        <v>110.0</v>
      </c>
      <c r="E51" s="15">
        <v>287.0</v>
      </c>
      <c r="F51" s="15">
        <v>387.0</v>
      </c>
      <c r="G51" s="15">
        <v>329.0</v>
      </c>
      <c r="H51" s="15">
        <v>329.0</v>
      </c>
      <c r="I51" s="15">
        <v>0.0</v>
      </c>
      <c r="J51" s="15">
        <v>0.0</v>
      </c>
      <c r="K51" s="15">
        <v>58.0</v>
      </c>
      <c r="L51" s="15">
        <v>245.0</v>
      </c>
      <c r="M51" s="16">
        <v>0.7416020671834626</v>
      </c>
      <c r="N51" s="16">
        <v>0.8501291989664083</v>
      </c>
      <c r="O51" s="16">
        <v>0.8501291989664083</v>
      </c>
      <c r="P51" s="16">
        <v>0.14987080103359174</v>
      </c>
      <c r="Q51" s="16">
        <v>0.6330749354005168</v>
      </c>
      <c r="R51" s="8">
        <v>1.0</v>
      </c>
      <c r="S51" s="8">
        <v>0.0</v>
      </c>
      <c r="T51" s="16">
        <f>IFERROR(S51/R51,"")</f>
        <v>0.0</v>
      </c>
      <c r="U51" s="8">
        <v>1.0</v>
      </c>
      <c r="V51" s="16">
        <v>1.0</v>
      </c>
      <c r="W51" s="16">
        <v>1.0</v>
      </c>
      <c r="X51" s="31">
        <v>1.0</v>
      </c>
      <c r="Y51" s="16">
        <v>1.0</v>
      </c>
      <c r="Z51" s="16">
        <v>0.0</v>
      </c>
      <c r="AA51" s="8">
        <v>0.0</v>
      </c>
      <c r="AB51" s="16"/>
      <c r="AC51" s="15"/>
      <c r="AD51" s="16" t="str">
        <f>IFERROR(AC51/AA51,"")</f>
        <v/>
      </c>
      <c r="AE51" s="16"/>
      <c r="AF51" s="31"/>
      <c r="AG51" s="16"/>
      <c r="AH51" s="8">
        <v>0.0</v>
      </c>
      <c r="AI51" s="8"/>
      <c r="AJ51" s="16" t="str">
        <f>IFERROR(AI51/AH51,"")</f>
        <v/>
      </c>
      <c r="AK51" s="16"/>
      <c r="AL51" s="16"/>
      <c r="AM51" s="16"/>
      <c r="AN51" s="8">
        <v>0.0</v>
      </c>
      <c r="AO51" s="22"/>
      <c r="AP51" s="28">
        <v>75.0</v>
      </c>
      <c r="AQ51" s="26">
        <v>451.0</v>
      </c>
      <c r="AR51" s="26">
        <v>329.0</v>
      </c>
      <c r="AS51" s="26">
        <v>294.0</v>
      </c>
      <c r="AT51" s="26">
        <v>357.0</v>
      </c>
      <c r="AU51" s="26">
        <v>57.0</v>
      </c>
      <c r="AV51" s="27">
        <v>0.8936170212765957</v>
      </c>
      <c r="AW51" s="26">
        <v>2.0</v>
      </c>
      <c r="AX51" s="26">
        <v>2.0</v>
      </c>
      <c r="AY51" s="26">
        <v>3.0</v>
      </c>
      <c r="AZ51" s="26">
        <v>4.0</v>
      </c>
      <c r="BA51" s="26">
        <v>3.0</v>
      </c>
      <c r="BB51" s="26">
        <v>2.0</v>
      </c>
      <c r="BC51" s="27">
        <v>0.07017543859649122</v>
      </c>
      <c r="BD51" s="26">
        <v>0.0</v>
      </c>
      <c r="BE51" s="26">
        <v>0.0</v>
      </c>
      <c r="BF51" s="26">
        <v>0.0</v>
      </c>
      <c r="BG51" s="26">
        <v>0.0</v>
      </c>
      <c r="BH51" s="26">
        <v>0.0</v>
      </c>
      <c r="BI51" s="26">
        <v>0.0</v>
      </c>
    </row>
    <row r="52" spans="1:61" ht="19.15" customHeight="1">
      <c r="A52" s="2"/>
      <c r="B52" s="8"/>
      <c r="C52" s="8" t="s">
        <v>148</v>
      </c>
      <c r="D52" s="15">
        <v>114.0</v>
      </c>
      <c r="E52" s="15">
        <v>298.0</v>
      </c>
      <c r="F52" s="15">
        <v>385.0</v>
      </c>
      <c r="G52" s="15">
        <v>347.0</v>
      </c>
      <c r="H52" s="15">
        <v>347.0</v>
      </c>
      <c r="I52" s="15">
        <v>0.0</v>
      </c>
      <c r="J52" s="15">
        <v>0.0</v>
      </c>
      <c r="K52" s="15">
        <v>38.0</v>
      </c>
      <c r="L52" s="15">
        <v>271.0</v>
      </c>
      <c r="M52" s="16">
        <v>0.7740259740259741</v>
      </c>
      <c r="N52" s="16">
        <v>0.9012987012987013</v>
      </c>
      <c r="O52" s="16">
        <v>0.9012987012987013</v>
      </c>
      <c r="P52" s="16">
        <v>0.0987012987012987</v>
      </c>
      <c r="Q52" s="16">
        <v>0.7038961038961039</v>
      </c>
      <c r="R52" s="8">
        <v>2.0</v>
      </c>
      <c r="S52" s="8">
        <v>0.0</v>
      </c>
      <c r="T52" s="16">
        <f>IFERROR(S52/R52,"")</f>
        <v>0.0</v>
      </c>
      <c r="U52" s="8">
        <v>2.0</v>
      </c>
      <c r="V52" s="16">
        <v>1.0</v>
      </c>
      <c r="W52" s="16">
        <v>1.0</v>
      </c>
      <c r="X52" s="31">
        <v>2.0</v>
      </c>
      <c r="Y52" s="16">
        <v>1.0</v>
      </c>
      <c r="Z52" s="16">
        <v>0.0</v>
      </c>
      <c r="AA52" s="8">
        <v>0.0</v>
      </c>
      <c r="AB52" s="16"/>
      <c r="AC52" s="15"/>
      <c r="AD52" s="16" t="str">
        <f>IFERROR(AC52/AA52,"")</f>
        <v/>
      </c>
      <c r="AE52" s="16"/>
      <c r="AF52" s="31"/>
      <c r="AG52" s="16"/>
      <c r="AH52" s="8">
        <v>0.0</v>
      </c>
      <c r="AI52" s="8"/>
      <c r="AJ52" s="16" t="str">
        <f>IFERROR(AI52/AH52,"")</f>
        <v/>
      </c>
      <c r="AK52" s="16"/>
      <c r="AL52" s="16"/>
      <c r="AM52" s="16"/>
      <c r="AN52" s="8">
        <v>0.0</v>
      </c>
      <c r="AO52" s="22"/>
      <c r="AP52" s="28">
        <v>74.0</v>
      </c>
      <c r="AQ52" s="26">
        <v>442.0</v>
      </c>
      <c r="AR52" s="26">
        <v>340.0</v>
      </c>
      <c r="AS52" s="26">
        <v>298.0</v>
      </c>
      <c r="AT52" s="26">
        <v>363.0</v>
      </c>
      <c r="AU52" s="26">
        <v>38.0</v>
      </c>
      <c r="AV52" s="27">
        <v>0.8764705882352941</v>
      </c>
      <c r="AW52" s="26">
        <v>2.0</v>
      </c>
      <c r="AX52" s="26">
        <v>2.0</v>
      </c>
      <c r="AY52" s="26">
        <v>6.0</v>
      </c>
      <c r="AZ52" s="26">
        <v>9.0</v>
      </c>
      <c r="BA52" s="26">
        <v>7.0</v>
      </c>
      <c r="BB52" s="26">
        <v>7.0</v>
      </c>
      <c r="BC52" s="27">
        <v>0.23684210526315788</v>
      </c>
      <c r="BD52" s="26">
        <v>0.0</v>
      </c>
      <c r="BE52" s="26">
        <v>0.0</v>
      </c>
      <c r="BF52" s="26">
        <v>0.0</v>
      </c>
      <c r="BG52" s="26">
        <v>0.0</v>
      </c>
      <c r="BH52" s="26">
        <v>0.0</v>
      </c>
      <c r="BI52" s="26">
        <v>0.0</v>
      </c>
    </row>
    <row r="53" spans="1:61" ht="19.15" customHeight="1">
      <c r="A53" s="2"/>
      <c r="B53" s="8"/>
      <c r="C53" s="8" t="s">
        <v>149</v>
      </c>
      <c r="D53" s="15">
        <v>675.0</v>
      </c>
      <c r="E53" s="15">
        <v>1861.0</v>
      </c>
      <c r="F53" s="15">
        <v>2200.0</v>
      </c>
      <c r="G53" s="15">
        <v>2001.0</v>
      </c>
      <c r="H53" s="15">
        <v>2001.0</v>
      </c>
      <c r="I53" s="15">
        <v>0.0</v>
      </c>
      <c r="J53" s="15">
        <v>0.0</v>
      </c>
      <c r="K53" s="15">
        <v>199.0</v>
      </c>
      <c r="L53" s="15">
        <v>1662.0</v>
      </c>
      <c r="M53" s="16">
        <v>0.8459090909090909</v>
      </c>
      <c r="N53" s="16">
        <v>0.9095454545454545</v>
      </c>
      <c r="O53" s="16">
        <v>0.9095454545454545</v>
      </c>
      <c r="P53" s="16">
        <v>0.09045454545454545</v>
      </c>
      <c r="Q53" s="16">
        <v>0.7554545454545455</v>
      </c>
      <c r="R53" s="8">
        <v>19.0</v>
      </c>
      <c r="S53" s="8">
        <v>0.0</v>
      </c>
      <c r="T53" s="16">
        <f>IFERROR(S53/R53,"")</f>
        <v>0.0</v>
      </c>
      <c r="U53" s="8">
        <v>17.0</v>
      </c>
      <c r="V53" s="16">
        <v>0.8947368421052632</v>
      </c>
      <c r="W53" s="16">
        <v>0.9473684210526315</v>
      </c>
      <c r="X53" s="31">
        <v>16.0</v>
      </c>
      <c r="Y53" s="16">
        <v>0.9411764705882353</v>
      </c>
      <c r="Z53" s="16">
        <v>0.0</v>
      </c>
      <c r="AA53" s="8">
        <v>10.0</v>
      </c>
      <c r="AB53" s="16">
        <v>0.975</v>
      </c>
      <c r="AC53" s="15">
        <v>0.0</v>
      </c>
      <c r="AD53" s="16">
        <f>IFERROR(AC53/AA53,"")</f>
        <v>0.0</v>
      </c>
      <c r="AE53" s="16">
        <v>0.9</v>
      </c>
      <c r="AF53" s="31">
        <v>9.0</v>
      </c>
      <c r="AG53" s="16">
        <v>0.9</v>
      </c>
      <c r="AH53" s="8">
        <v>13.0</v>
      </c>
      <c r="AI53" s="8">
        <v>0.0</v>
      </c>
      <c r="AJ53" s="16">
        <f>IFERROR(AI53/AH53,"")</f>
        <v>0.0</v>
      </c>
      <c r="AK53" s="16">
        <v>0.7884615384615384</v>
      </c>
      <c r="AL53" s="16">
        <v>0.5384615384615384</v>
      </c>
      <c r="AM53" s="16">
        <v>0.38461538461538464</v>
      </c>
      <c r="AN53" s="8">
        <v>0.0</v>
      </c>
      <c r="AO53" s="22"/>
      <c r="AP53" s="28">
        <v>418.0</v>
      </c>
      <c r="AQ53" s="26">
        <v>2592.0</v>
      </c>
      <c r="AR53" s="26">
        <v>1988.0</v>
      </c>
      <c r="AS53" s="26">
        <v>1758.0</v>
      </c>
      <c r="AT53" s="26">
        <v>2070.0</v>
      </c>
      <c r="AU53" s="26">
        <v>198.0</v>
      </c>
      <c r="AV53" s="27">
        <v>0.8843058350100603</v>
      </c>
      <c r="AW53" s="26">
        <v>8.0</v>
      </c>
      <c r="AX53" s="26">
        <v>8.0</v>
      </c>
      <c r="AY53" s="26">
        <v>16.0</v>
      </c>
      <c r="AZ53" s="26">
        <v>18.0</v>
      </c>
      <c r="BA53" s="26">
        <v>15.0</v>
      </c>
      <c r="BB53" s="26">
        <v>15.0</v>
      </c>
      <c r="BC53" s="27">
        <v>0.09090909090909091</v>
      </c>
      <c r="BD53" s="26">
        <v>0.0</v>
      </c>
      <c r="BE53" s="26">
        <v>0.0</v>
      </c>
      <c r="BF53" s="26">
        <v>0.0</v>
      </c>
      <c r="BG53" s="26">
        <v>0.0</v>
      </c>
      <c r="BH53" s="26">
        <v>0.0</v>
      </c>
      <c r="BI53" s="26">
        <v>0.0</v>
      </c>
    </row>
    <row r="54" spans="1:61" ht="19.15" customHeight="1">
      <c r="A54" s="2"/>
      <c r="B54" s="8"/>
      <c r="C54" s="8" t="s">
        <v>150</v>
      </c>
      <c r="D54" s="15">
        <v>451.0</v>
      </c>
      <c r="E54" s="15">
        <v>1251.0</v>
      </c>
      <c r="F54" s="15">
        <v>1455.0</v>
      </c>
      <c r="G54" s="15">
        <v>1375.0</v>
      </c>
      <c r="H54" s="15">
        <v>1375.0</v>
      </c>
      <c r="I54" s="15">
        <v>0.0</v>
      </c>
      <c r="J54" s="15">
        <v>0.0</v>
      </c>
      <c r="K54" s="15">
        <v>80.0</v>
      </c>
      <c r="L54" s="15">
        <v>1143.0</v>
      </c>
      <c r="M54" s="16">
        <v>0.8597938144329897</v>
      </c>
      <c r="N54" s="16">
        <v>0.9450171821305842</v>
      </c>
      <c r="O54" s="16">
        <v>0.9450171821305842</v>
      </c>
      <c r="P54" s="16">
        <v>0.054982817869415807</v>
      </c>
      <c r="Q54" s="16">
        <v>0.7855670103092783</v>
      </c>
      <c r="R54" s="8">
        <v>12.0</v>
      </c>
      <c r="S54" s="8">
        <v>0.0</v>
      </c>
      <c r="T54" s="16">
        <f>IFERROR(S54/R54,"")</f>
        <v>0.0</v>
      </c>
      <c r="U54" s="8">
        <v>12.0</v>
      </c>
      <c r="V54" s="16">
        <v>1.0</v>
      </c>
      <c r="W54" s="16">
        <v>1.0</v>
      </c>
      <c r="X54" s="31">
        <v>11.0</v>
      </c>
      <c r="Y54" s="16">
        <v>0.9166666666666666</v>
      </c>
      <c r="Z54" s="16">
        <v>0.0</v>
      </c>
      <c r="AA54" s="8">
        <v>7.0</v>
      </c>
      <c r="AB54" s="16">
        <v>1.0714285714285714</v>
      </c>
      <c r="AC54" s="15">
        <v>0.0</v>
      </c>
      <c r="AD54" s="16">
        <f>IFERROR(AC54/AA54,"")</f>
        <v>0.0</v>
      </c>
      <c r="AE54" s="16">
        <v>0.8571428571428571</v>
      </c>
      <c r="AF54" s="31">
        <v>5.0</v>
      </c>
      <c r="AG54" s="16">
        <v>0.7142857142857143</v>
      </c>
      <c r="AH54" s="8">
        <v>9.0</v>
      </c>
      <c r="AI54" s="8">
        <v>1.0</v>
      </c>
      <c r="AJ54" s="16">
        <f>IFERROR(AI54/AH54,"")</f>
        <v>0.1111111111111111</v>
      </c>
      <c r="AK54" s="16">
        <v>0.9305555555555556</v>
      </c>
      <c r="AL54" s="16">
        <v>0.2222222222222222</v>
      </c>
      <c r="AM54" s="16">
        <v>0.1111111111111111</v>
      </c>
      <c r="AN54" s="8">
        <v>0.0</v>
      </c>
      <c r="AO54" s="22"/>
      <c r="AP54" s="28">
        <v>278.0</v>
      </c>
      <c r="AQ54" s="26">
        <v>1707.0</v>
      </c>
      <c r="AR54" s="26">
        <v>1361.0</v>
      </c>
      <c r="AS54" s="26">
        <v>1170.0</v>
      </c>
      <c r="AT54" s="26">
        <v>1378.0</v>
      </c>
      <c r="AU54" s="26">
        <v>80.0</v>
      </c>
      <c r="AV54" s="27">
        <v>0.8596620132255695</v>
      </c>
      <c r="AW54" s="26">
        <v>2.0</v>
      </c>
      <c r="AX54" s="26">
        <v>2.0</v>
      </c>
      <c r="AY54" s="26">
        <v>16.0</v>
      </c>
      <c r="AZ54" s="26">
        <v>17.0</v>
      </c>
      <c r="BA54" s="26">
        <v>17.0</v>
      </c>
      <c r="BB54" s="26">
        <v>17.0</v>
      </c>
      <c r="BC54" s="27">
        <v>0.2125</v>
      </c>
      <c r="BD54" s="26">
        <v>0.0</v>
      </c>
      <c r="BE54" s="26">
        <v>0.0</v>
      </c>
      <c r="BF54" s="26">
        <v>0.0</v>
      </c>
      <c r="BG54" s="26">
        <v>0.0</v>
      </c>
      <c r="BH54" s="26">
        <v>0.0</v>
      </c>
      <c r="BI54" s="26">
        <v>0.0</v>
      </c>
    </row>
    <row r="55" spans="1:61" ht="19.15" customHeight="1">
      <c r="A55" s="2"/>
      <c r="B55" s="8" t="s">
        <v>108</v>
      </c>
      <c r="C55" s="8" t="s">
        <v>151</v>
      </c>
      <c r="D55" s="15">
        <v>426.0</v>
      </c>
      <c r="E55" s="15">
        <v>1206.0</v>
      </c>
      <c r="F55" s="15">
        <v>1417.0</v>
      </c>
      <c r="G55" s="15">
        <v>1306.0</v>
      </c>
      <c r="H55" s="15">
        <v>1306.0</v>
      </c>
      <c r="I55" s="15">
        <v>0.0</v>
      </c>
      <c r="J55" s="15">
        <v>0.0</v>
      </c>
      <c r="K55" s="15">
        <v>111.0</v>
      </c>
      <c r="L55" s="15">
        <v>1086.0</v>
      </c>
      <c r="M55" s="16">
        <v>0.8510938602681722</v>
      </c>
      <c r="N55" s="16">
        <v>0.92166549047283</v>
      </c>
      <c r="O55" s="16">
        <v>0.92166549047283</v>
      </c>
      <c r="P55" s="16">
        <v>0.07833450952717008</v>
      </c>
      <c r="Q55" s="16">
        <v>0.766407904022583</v>
      </c>
      <c r="R55" s="8">
        <v>0.0</v>
      </c>
      <c r="S55" s="8"/>
      <c r="T55" s="16" t="str">
        <f>IFERROR(S55/R55,"")</f>
        <v/>
      </c>
      <c r="U55" s="8">
        <v>0.0</v>
      </c>
      <c r="V55" s="16"/>
      <c r="W55" s="16"/>
      <c r="X55" s="31"/>
      <c r="Y55" s="16"/>
      <c r="Z55" s="16"/>
      <c r="AA55" s="8">
        <v>1.0</v>
      </c>
      <c r="AB55" s="16">
        <v>1.0</v>
      </c>
      <c r="AC55" s="15">
        <v>0.0</v>
      </c>
      <c r="AD55" s="16">
        <f>IFERROR(AC55/AA55,"")</f>
        <v>0.0</v>
      </c>
      <c r="AE55" s="16">
        <v>1.0</v>
      </c>
      <c r="AF55" s="31">
        <v>1.0</v>
      </c>
      <c r="AG55" s="16">
        <v>1.0</v>
      </c>
      <c r="AH55" s="8">
        <v>5.0</v>
      </c>
      <c r="AI55" s="8">
        <v>0.0</v>
      </c>
      <c r="AJ55" s="16">
        <f>IFERROR(AI55/AH55,"")</f>
        <v>0.0</v>
      </c>
      <c r="AK55" s="16">
        <v>0.925</v>
      </c>
      <c r="AL55" s="16">
        <v>0.6</v>
      </c>
      <c r="AM55" s="16">
        <v>0.4</v>
      </c>
      <c r="AN55" s="8">
        <v>0.0</v>
      </c>
      <c r="AO55" s="22"/>
      <c r="AP55" s="28">
        <v>263.0</v>
      </c>
      <c r="AQ55" s="26">
        <v>1648.0</v>
      </c>
      <c r="AR55" s="26">
        <v>1297.0</v>
      </c>
      <c r="AS55" s="26">
        <v>1100.0</v>
      </c>
      <c r="AT55" s="26">
        <v>1331.0</v>
      </c>
      <c r="AU55" s="26">
        <v>111.0</v>
      </c>
      <c r="AV55" s="27">
        <v>0.8481110254433307</v>
      </c>
      <c r="AW55" s="26">
        <v>15.0</v>
      </c>
      <c r="AX55" s="26">
        <v>20.0</v>
      </c>
      <c r="AY55" s="26">
        <v>8.0</v>
      </c>
      <c r="AZ55" s="26">
        <v>8.0</v>
      </c>
      <c r="BA55" s="26">
        <v>6.0</v>
      </c>
      <c r="BB55" s="26">
        <v>6.0</v>
      </c>
      <c r="BC55" s="27">
        <v>0.07207207207207207</v>
      </c>
      <c r="BD55" s="26">
        <v>0.0</v>
      </c>
      <c r="BE55" s="26">
        <v>0.0</v>
      </c>
      <c r="BF55" s="26">
        <v>0.0</v>
      </c>
      <c r="BG55" s="26">
        <v>0.0</v>
      </c>
      <c r="BH55" s="26">
        <v>0.0</v>
      </c>
      <c r="BI55" s="26">
        <v>0.0</v>
      </c>
    </row>
    <row r="56" spans="1:61" ht="19.15" customHeight="1">
      <c r="A56" s="2"/>
      <c r="B56" s="8"/>
      <c r="C56" s="8" t="s">
        <v>152</v>
      </c>
      <c r="D56" s="15">
        <v>229.0</v>
      </c>
      <c r="E56" s="15">
        <v>638.0</v>
      </c>
      <c r="F56" s="15">
        <v>757.0</v>
      </c>
      <c r="G56" s="15">
        <v>700.0</v>
      </c>
      <c r="H56" s="15">
        <v>700.0</v>
      </c>
      <c r="I56" s="15">
        <v>0.0</v>
      </c>
      <c r="J56" s="15">
        <v>0.0</v>
      </c>
      <c r="K56" s="15">
        <v>57.0</v>
      </c>
      <c r="L56" s="15">
        <v>577.0</v>
      </c>
      <c r="M56" s="16">
        <v>0.8428005284015853</v>
      </c>
      <c r="N56" s="16">
        <v>0.9247027741083224</v>
      </c>
      <c r="O56" s="16">
        <v>0.9247027741083224</v>
      </c>
      <c r="P56" s="16">
        <v>0.07529722589167767</v>
      </c>
      <c r="Q56" s="16">
        <v>0.76221928665786</v>
      </c>
      <c r="R56" s="8">
        <v>0.0</v>
      </c>
      <c r="S56" s="8"/>
      <c r="T56" s="16" t="str">
        <f>IFERROR(S56/R56,"")</f>
        <v/>
      </c>
      <c r="U56" s="8">
        <v>0.0</v>
      </c>
      <c r="V56" s="16"/>
      <c r="W56" s="16"/>
      <c r="X56" s="31"/>
      <c r="Y56" s="16"/>
      <c r="Z56" s="16"/>
      <c r="AA56" s="8">
        <v>0.0</v>
      </c>
      <c r="AB56" s="16"/>
      <c r="AC56" s="15"/>
      <c r="AD56" s="16" t="str">
        <f>IFERROR(AC56/AA56,"")</f>
        <v/>
      </c>
      <c r="AE56" s="16"/>
      <c r="AF56" s="31"/>
      <c r="AG56" s="16"/>
      <c r="AH56" s="8">
        <v>1.0</v>
      </c>
      <c r="AI56" s="8">
        <v>0.0</v>
      </c>
      <c r="AJ56" s="16">
        <f>IFERROR(AI56/AH56,"")</f>
        <v>0.0</v>
      </c>
      <c r="AK56" s="16">
        <v>1.0</v>
      </c>
      <c r="AL56" s="16">
        <v>1.0</v>
      </c>
      <c r="AM56" s="16">
        <v>0.0</v>
      </c>
      <c r="AN56" s="8">
        <v>0.0</v>
      </c>
      <c r="AO56" s="22"/>
      <c r="AP56" s="28">
        <v>140.0</v>
      </c>
      <c r="AQ56" s="26">
        <v>869.0</v>
      </c>
      <c r="AR56" s="26">
        <v>697.0</v>
      </c>
      <c r="AS56" s="26">
        <v>619.0</v>
      </c>
      <c r="AT56" s="26">
        <v>714.0</v>
      </c>
      <c r="AU56" s="26">
        <v>56.0</v>
      </c>
      <c r="AV56" s="27">
        <v>0.8880918220946915</v>
      </c>
      <c r="AW56" s="26">
        <v>7.0</v>
      </c>
      <c r="AX56" s="26">
        <v>8.0</v>
      </c>
      <c r="AY56" s="26">
        <v>5.0</v>
      </c>
      <c r="AZ56" s="26">
        <v>6.0</v>
      </c>
      <c r="BA56" s="26">
        <v>5.0</v>
      </c>
      <c r="BB56" s="26">
        <v>5.0</v>
      </c>
      <c r="BC56" s="27">
        <v>0.10714285714285714</v>
      </c>
      <c r="BD56" s="26">
        <v>0.0</v>
      </c>
      <c r="BE56" s="26">
        <v>0.0</v>
      </c>
      <c r="BF56" s="26">
        <v>0.0</v>
      </c>
      <c r="BG56" s="26">
        <v>0.0</v>
      </c>
      <c r="BH56" s="26">
        <v>0.0</v>
      </c>
      <c r="BI56" s="26">
        <v>0.0</v>
      </c>
    </row>
    <row r="57" spans="1:61" ht="19.15" customHeight="1">
      <c r="A57" s="2"/>
      <c r="B57" s="8"/>
      <c r="C57" s="8" t="s">
        <v>153</v>
      </c>
      <c r="D57" s="15">
        <v>561.0</v>
      </c>
      <c r="E57" s="15">
        <v>1515.0</v>
      </c>
      <c r="F57" s="15">
        <v>1759.0</v>
      </c>
      <c r="G57" s="15">
        <v>1615.0</v>
      </c>
      <c r="H57" s="15">
        <v>1615.0</v>
      </c>
      <c r="I57" s="15">
        <v>0.0</v>
      </c>
      <c r="J57" s="15">
        <v>0.0</v>
      </c>
      <c r="K57" s="15">
        <v>144.0</v>
      </c>
      <c r="L57" s="15">
        <v>1382.0</v>
      </c>
      <c r="M57" s="16">
        <v>0.8612848209209778</v>
      </c>
      <c r="N57" s="16">
        <v>0.9181353041500853</v>
      </c>
      <c r="O57" s="16">
        <v>0.9181353041500853</v>
      </c>
      <c r="P57" s="16">
        <v>0.08186469584991472</v>
      </c>
      <c r="Q57" s="16">
        <v>0.7856736782262649</v>
      </c>
      <c r="R57" s="8">
        <v>10.0</v>
      </c>
      <c r="S57" s="8">
        <v>0.0</v>
      </c>
      <c r="T57" s="16">
        <f>IFERROR(S57/R57,"")</f>
        <v>0.0</v>
      </c>
      <c r="U57" s="8">
        <v>10.0</v>
      </c>
      <c r="V57" s="16">
        <v>0.9</v>
      </c>
      <c r="W57" s="16">
        <v>0.8</v>
      </c>
      <c r="X57" s="31">
        <v>8.0</v>
      </c>
      <c r="Y57" s="16">
        <v>0.8</v>
      </c>
      <c r="Z57" s="16">
        <v>0.0</v>
      </c>
      <c r="AA57" s="8">
        <v>6.0</v>
      </c>
      <c r="AB57" s="16">
        <v>1.25</v>
      </c>
      <c r="AC57" s="15">
        <v>0.0</v>
      </c>
      <c r="AD57" s="16">
        <f>IFERROR(AC57/AA57,"")</f>
        <v>0.0</v>
      </c>
      <c r="AE57" s="16">
        <v>1.0</v>
      </c>
      <c r="AF57" s="31">
        <v>6.0</v>
      </c>
      <c r="AG57" s="16">
        <v>1.0</v>
      </c>
      <c r="AH57" s="8">
        <v>8.0</v>
      </c>
      <c r="AI57" s="8">
        <v>0.0</v>
      </c>
      <c r="AJ57" s="16">
        <f>IFERROR(AI57/AH57,"")</f>
        <v>0.0</v>
      </c>
      <c r="AK57" s="16">
        <v>0.96875</v>
      </c>
      <c r="AL57" s="16">
        <v>0.875</v>
      </c>
      <c r="AM57" s="16">
        <v>0.125</v>
      </c>
      <c r="AN57" s="8">
        <v>0.0</v>
      </c>
      <c r="AO57" s="22"/>
      <c r="AP57" s="28">
        <v>338.0</v>
      </c>
      <c r="AQ57" s="26">
        <v>2065.0</v>
      </c>
      <c r="AR57" s="26">
        <v>1607.0</v>
      </c>
      <c r="AS57" s="26">
        <v>1451.0</v>
      </c>
      <c r="AT57" s="26">
        <v>1640.0</v>
      </c>
      <c r="AU57" s="26">
        <v>139.0</v>
      </c>
      <c r="AV57" s="27">
        <v>0.9029247044181705</v>
      </c>
      <c r="AW57" s="26">
        <v>8.0</v>
      </c>
      <c r="AX57" s="26">
        <v>10.0</v>
      </c>
      <c r="AY57" s="26">
        <v>16.0</v>
      </c>
      <c r="AZ57" s="26">
        <v>17.0</v>
      </c>
      <c r="BA57" s="26">
        <v>10.0</v>
      </c>
      <c r="BB57" s="26">
        <v>9.0</v>
      </c>
      <c r="BC57" s="27">
        <v>0.1223021582733813</v>
      </c>
      <c r="BD57" s="26">
        <v>0.0</v>
      </c>
      <c r="BE57" s="26">
        <v>0.0</v>
      </c>
      <c r="BF57" s="26">
        <v>0.0</v>
      </c>
      <c r="BG57" s="26">
        <v>0.0</v>
      </c>
      <c r="BH57" s="26">
        <v>0.0</v>
      </c>
      <c r="BI57" s="26">
        <v>0.0</v>
      </c>
    </row>
    <row r="58" spans="1:61" ht="19.15" customHeight="1">
      <c r="A58" s="2"/>
      <c r="B58" s="8"/>
      <c r="C58" s="8" t="s">
        <v>154</v>
      </c>
      <c r="D58" s="15">
        <v>785.0</v>
      </c>
      <c r="E58" s="15">
        <v>1925.0</v>
      </c>
      <c r="F58" s="15">
        <v>2333.0</v>
      </c>
      <c r="G58" s="15">
        <v>2112.0</v>
      </c>
      <c r="H58" s="15">
        <v>2112.0</v>
      </c>
      <c r="I58" s="15">
        <v>0.0</v>
      </c>
      <c r="J58" s="15">
        <v>0.0</v>
      </c>
      <c r="K58" s="15">
        <v>221.0</v>
      </c>
      <c r="L58" s="15">
        <v>1784.0</v>
      </c>
      <c r="M58" s="16">
        <v>0.8251178739819974</v>
      </c>
      <c r="N58" s="16">
        <v>0.9052721817402486</v>
      </c>
      <c r="O58" s="16">
        <v>0.9052721817402486</v>
      </c>
      <c r="P58" s="16">
        <v>0.09472781825975139</v>
      </c>
      <c r="Q58" s="16">
        <v>0.7646806686669524</v>
      </c>
      <c r="R58" s="8">
        <v>4.0</v>
      </c>
      <c r="S58" s="8">
        <v>0.0</v>
      </c>
      <c r="T58" s="16">
        <f>IFERROR(S58/R58,"")</f>
        <v>0.0</v>
      </c>
      <c r="U58" s="8">
        <v>4.0</v>
      </c>
      <c r="V58" s="16">
        <v>1.0</v>
      </c>
      <c r="W58" s="16">
        <v>1.0</v>
      </c>
      <c r="X58" s="31">
        <v>4.0</v>
      </c>
      <c r="Y58" s="16">
        <v>1.0</v>
      </c>
      <c r="Z58" s="16">
        <v>0.0</v>
      </c>
      <c r="AA58" s="8">
        <v>6.0</v>
      </c>
      <c r="AB58" s="16">
        <v>1.1666666666666667</v>
      </c>
      <c r="AC58" s="15">
        <v>1.0</v>
      </c>
      <c r="AD58" s="16">
        <f>IFERROR(AC58/AA58,"")</f>
        <v>0.16666666666666666</v>
      </c>
      <c r="AE58" s="16">
        <v>1.0</v>
      </c>
      <c r="AF58" s="31">
        <v>5.0</v>
      </c>
      <c r="AG58" s="16">
        <v>0.8333333333333334</v>
      </c>
      <c r="AH58" s="8">
        <v>7.0</v>
      </c>
      <c r="AI58" s="8">
        <v>1.0</v>
      </c>
      <c r="AJ58" s="16">
        <f>IFERROR(AI58/AH58,"")</f>
        <v>0.14285714285714285</v>
      </c>
      <c r="AK58" s="16">
        <v>0.9107142857142857</v>
      </c>
      <c r="AL58" s="16">
        <v>0.42857142857142855</v>
      </c>
      <c r="AM58" s="16">
        <v>0.0</v>
      </c>
      <c r="AN58" s="8">
        <v>0.0</v>
      </c>
      <c r="AO58" s="22"/>
      <c r="AP58" s="28">
        <v>441.0</v>
      </c>
      <c r="AQ58" s="26">
        <v>2688.0</v>
      </c>
      <c r="AR58" s="26">
        <v>2105.0</v>
      </c>
      <c r="AS58" s="26">
        <v>1780.0</v>
      </c>
      <c r="AT58" s="26">
        <v>2166.0</v>
      </c>
      <c r="AU58" s="26">
        <v>217.0</v>
      </c>
      <c r="AV58" s="27">
        <v>0.8456057007125891</v>
      </c>
      <c r="AW58" s="26">
        <v>19.0</v>
      </c>
      <c r="AX58" s="26">
        <v>20.0</v>
      </c>
      <c r="AY58" s="26">
        <v>13.0</v>
      </c>
      <c r="AZ58" s="26">
        <v>15.0</v>
      </c>
      <c r="BA58" s="26">
        <v>9.0</v>
      </c>
      <c r="BB58" s="26">
        <v>9.0</v>
      </c>
      <c r="BC58" s="27">
        <v>0.06912442396313365</v>
      </c>
      <c r="BD58" s="26">
        <v>0.0</v>
      </c>
      <c r="BE58" s="26">
        <v>0.0</v>
      </c>
      <c r="BF58" s="26">
        <v>0.0</v>
      </c>
      <c r="BG58" s="26">
        <v>0.0</v>
      </c>
      <c r="BH58" s="26">
        <v>0.0</v>
      </c>
      <c r="BI58" s="26">
        <v>0.0</v>
      </c>
    </row>
    <row r="59" spans="1:61" ht="19.15" customHeight="1">
      <c r="A59" s="2"/>
      <c r="B59" s="8"/>
      <c r="C59" s="8" t="s">
        <v>155</v>
      </c>
      <c r="D59" s="15">
        <v>382.0</v>
      </c>
      <c r="E59" s="15">
        <v>1013.0</v>
      </c>
      <c r="F59" s="15">
        <v>1223.0</v>
      </c>
      <c r="G59" s="15">
        <v>1109.0</v>
      </c>
      <c r="H59" s="15">
        <v>1109.0</v>
      </c>
      <c r="I59" s="15">
        <v>0.0</v>
      </c>
      <c r="J59" s="15">
        <v>0.0</v>
      </c>
      <c r="K59" s="15">
        <v>114.0</v>
      </c>
      <c r="L59" s="15">
        <v>950.0</v>
      </c>
      <c r="M59" s="16">
        <v>0.8282910874897792</v>
      </c>
      <c r="N59" s="16">
        <v>0.9067865903515945</v>
      </c>
      <c r="O59" s="16">
        <v>0.9067865903515945</v>
      </c>
      <c r="P59" s="16">
        <v>0.09321340964840556</v>
      </c>
      <c r="Q59" s="16">
        <v>0.776778413736713</v>
      </c>
      <c r="R59" s="8">
        <v>4.0</v>
      </c>
      <c r="S59" s="8">
        <v>0.0</v>
      </c>
      <c r="T59" s="16">
        <f>IFERROR(S59/R59,"")</f>
        <v>0.0</v>
      </c>
      <c r="U59" s="8">
        <v>4.0</v>
      </c>
      <c r="V59" s="16">
        <v>0.75</v>
      </c>
      <c r="W59" s="16">
        <v>0.75</v>
      </c>
      <c r="X59" s="31">
        <v>3.0</v>
      </c>
      <c r="Y59" s="16">
        <v>0.75</v>
      </c>
      <c r="Z59" s="16">
        <v>0.0</v>
      </c>
      <c r="AA59" s="8">
        <v>0.0</v>
      </c>
      <c r="AB59" s="16"/>
      <c r="AC59" s="15"/>
      <c r="AD59" s="16" t="str">
        <f>IFERROR(AC59/AA59,"")</f>
        <v/>
      </c>
      <c r="AE59" s="16"/>
      <c r="AF59" s="31"/>
      <c r="AG59" s="16"/>
      <c r="AH59" s="8">
        <v>0.0</v>
      </c>
      <c r="AI59" s="8"/>
      <c r="AJ59" s="16" t="str">
        <f>IFERROR(AI59/AH59,"")</f>
        <v/>
      </c>
      <c r="AK59" s="16"/>
      <c r="AL59" s="16"/>
      <c r="AM59" s="16"/>
      <c r="AN59" s="8">
        <v>0.0</v>
      </c>
      <c r="AO59" s="22"/>
      <c r="AP59" s="28">
        <v>231.0</v>
      </c>
      <c r="AQ59" s="26">
        <v>1431.0</v>
      </c>
      <c r="AR59" s="26">
        <v>1104.0</v>
      </c>
      <c r="AS59" s="26">
        <v>934.0</v>
      </c>
      <c r="AT59" s="26">
        <v>1141.0</v>
      </c>
      <c r="AU59" s="26">
        <v>114.0</v>
      </c>
      <c r="AV59" s="27">
        <v>0.8460144927536232</v>
      </c>
      <c r="AW59" s="26">
        <v>14.0</v>
      </c>
      <c r="AX59" s="26">
        <v>17.0</v>
      </c>
      <c r="AY59" s="26">
        <v>4.0</v>
      </c>
      <c r="AZ59" s="26">
        <v>6.0</v>
      </c>
      <c r="BA59" s="26">
        <v>4.0</v>
      </c>
      <c r="BB59" s="26">
        <v>4.0</v>
      </c>
      <c r="BC59" s="27">
        <v>0.05263157894736842</v>
      </c>
      <c r="BD59" s="26">
        <v>0.0</v>
      </c>
      <c r="BE59" s="26">
        <v>0.0</v>
      </c>
      <c r="BF59" s="26">
        <v>0.0</v>
      </c>
      <c r="BG59" s="26">
        <v>0.0</v>
      </c>
      <c r="BH59" s="26">
        <v>0.0</v>
      </c>
      <c r="BI59" s="26">
        <v>0.0</v>
      </c>
    </row>
    <row r="60" spans="1:61" ht="19.15" customHeight="1">
      <c r="A60" s="2"/>
      <c r="B60" s="8"/>
      <c r="C60" s="8" t="s">
        <v>156</v>
      </c>
      <c r="D60" s="15">
        <v>392.0</v>
      </c>
      <c r="E60" s="15">
        <v>1024.0</v>
      </c>
      <c r="F60" s="15">
        <v>1246.0</v>
      </c>
      <c r="G60" s="15">
        <v>1139.0</v>
      </c>
      <c r="H60" s="15">
        <v>1139.0</v>
      </c>
      <c r="I60" s="15">
        <v>0.0</v>
      </c>
      <c r="J60" s="15">
        <v>0.0</v>
      </c>
      <c r="K60" s="15">
        <v>107.0</v>
      </c>
      <c r="L60" s="15">
        <v>955.0</v>
      </c>
      <c r="M60" s="16">
        <v>0.8218298555377207</v>
      </c>
      <c r="N60" s="16">
        <v>0.9141252006420546</v>
      </c>
      <c r="O60" s="16">
        <v>0.9141252006420546</v>
      </c>
      <c r="P60" s="16">
        <v>0.08587479935794542</v>
      </c>
      <c r="Q60" s="16">
        <v>0.7664526484751204</v>
      </c>
      <c r="R60" s="8">
        <v>10.0</v>
      </c>
      <c r="S60" s="8">
        <v>0.0</v>
      </c>
      <c r="T60" s="16">
        <f>IFERROR(S60/R60,"")</f>
        <v>0.0</v>
      </c>
      <c r="U60" s="8">
        <v>10.0</v>
      </c>
      <c r="V60" s="16">
        <v>0.7</v>
      </c>
      <c r="W60" s="16">
        <v>0.9</v>
      </c>
      <c r="X60" s="31">
        <v>8.0</v>
      </c>
      <c r="Y60" s="16">
        <v>0.8</v>
      </c>
      <c r="Z60" s="16">
        <v>0.0</v>
      </c>
      <c r="AA60" s="8">
        <v>6.0</v>
      </c>
      <c r="AB60" s="16">
        <v>0.9583333333333334</v>
      </c>
      <c r="AC60" s="15">
        <v>0.0</v>
      </c>
      <c r="AD60" s="16">
        <f>IFERROR(AC60/AA60,"")</f>
        <v>0.0</v>
      </c>
      <c r="AE60" s="16">
        <v>0.8333333333333334</v>
      </c>
      <c r="AF60" s="31">
        <v>3.0</v>
      </c>
      <c r="AG60" s="16">
        <v>0.5</v>
      </c>
      <c r="AH60" s="8">
        <v>1.0</v>
      </c>
      <c r="AI60" s="8">
        <v>0.0</v>
      </c>
      <c r="AJ60" s="16">
        <f>IFERROR(AI60/AH60,"")</f>
        <v>0.0</v>
      </c>
      <c r="AK60" s="16">
        <v>1.0</v>
      </c>
      <c r="AL60" s="16">
        <v>1.0</v>
      </c>
      <c r="AM60" s="16">
        <v>0.0</v>
      </c>
      <c r="AN60" s="8">
        <v>0.0</v>
      </c>
      <c r="AO60" s="22"/>
      <c r="AP60" s="28">
        <v>239.0</v>
      </c>
      <c r="AQ60" s="26">
        <v>1469.0</v>
      </c>
      <c r="AR60" s="26">
        <v>1135.0</v>
      </c>
      <c r="AS60" s="26">
        <v>988.0</v>
      </c>
      <c r="AT60" s="26">
        <v>1163.0</v>
      </c>
      <c r="AU60" s="26">
        <v>106.0</v>
      </c>
      <c r="AV60" s="27">
        <v>0.8704845814977974</v>
      </c>
      <c r="AW60" s="26">
        <v>8.0</v>
      </c>
      <c r="AX60" s="26">
        <v>8.0</v>
      </c>
      <c r="AY60" s="26">
        <v>5.0</v>
      </c>
      <c r="AZ60" s="26">
        <v>7.0</v>
      </c>
      <c r="BA60" s="26">
        <v>5.0</v>
      </c>
      <c r="BB60" s="26">
        <v>5.0</v>
      </c>
      <c r="BC60" s="27">
        <v>0.0660377358490566</v>
      </c>
      <c r="BD60" s="26">
        <v>0.0</v>
      </c>
      <c r="BE60" s="26">
        <v>0.0</v>
      </c>
      <c r="BF60" s="26">
        <v>0.0</v>
      </c>
      <c r="BG60" s="26">
        <v>0.0</v>
      </c>
      <c r="BH60" s="26">
        <v>0.0</v>
      </c>
      <c r="BI60" s="26">
        <v>0.0</v>
      </c>
    </row>
    <row r="61" spans="1:61" ht="19.15" customHeight="1">
      <c r="A61" s="2"/>
      <c r="B61" s="8"/>
      <c r="C61" s="8" t="s">
        <v>157</v>
      </c>
      <c r="D61" s="15">
        <v>615.0</v>
      </c>
      <c r="E61" s="15">
        <v>1592.0</v>
      </c>
      <c r="F61" s="15">
        <v>1860.0</v>
      </c>
      <c r="G61" s="15">
        <v>1699.0</v>
      </c>
      <c r="H61" s="15">
        <v>1699.0</v>
      </c>
      <c r="I61" s="15">
        <v>0.0</v>
      </c>
      <c r="J61" s="15">
        <v>0.0</v>
      </c>
      <c r="K61" s="15">
        <v>161.0</v>
      </c>
      <c r="L61" s="15">
        <v>1456.0</v>
      </c>
      <c r="M61" s="16">
        <v>0.8559139784946237</v>
      </c>
      <c r="N61" s="16">
        <v>0.9134408602150538</v>
      </c>
      <c r="O61" s="16">
        <v>0.9134408602150538</v>
      </c>
      <c r="P61" s="16">
        <v>0.08655913978494624</v>
      </c>
      <c r="Q61" s="16">
        <v>0.7827956989247312</v>
      </c>
      <c r="R61" s="8">
        <v>7.0</v>
      </c>
      <c r="S61" s="8">
        <v>0.0</v>
      </c>
      <c r="T61" s="16">
        <f>IFERROR(S61/R61,"")</f>
        <v>0.0</v>
      </c>
      <c r="U61" s="8">
        <v>7.0</v>
      </c>
      <c r="V61" s="16">
        <v>0.8571428571428571</v>
      </c>
      <c r="W61" s="16">
        <v>0.8571428571428571</v>
      </c>
      <c r="X61" s="31">
        <v>6.0</v>
      </c>
      <c r="Y61" s="16">
        <v>0.8571428571428571</v>
      </c>
      <c r="Z61" s="16">
        <v>0.0</v>
      </c>
      <c r="AA61" s="8">
        <v>5.0</v>
      </c>
      <c r="AB61" s="16">
        <v>1.1</v>
      </c>
      <c r="AC61" s="15">
        <v>1.0</v>
      </c>
      <c r="AD61" s="16">
        <f>IFERROR(AC61/AA61,"")</f>
        <v>0.2</v>
      </c>
      <c r="AE61" s="16">
        <v>0.8</v>
      </c>
      <c r="AF61" s="31">
        <v>4.0</v>
      </c>
      <c r="AG61" s="16">
        <v>0.8</v>
      </c>
      <c r="AH61" s="8">
        <v>5.0</v>
      </c>
      <c r="AI61" s="8">
        <v>1.0</v>
      </c>
      <c r="AJ61" s="16">
        <f>IFERROR(AI61/AH61,"")</f>
        <v>0.2</v>
      </c>
      <c r="AK61" s="16">
        <v>0.975</v>
      </c>
      <c r="AL61" s="16">
        <v>0.2</v>
      </c>
      <c r="AM61" s="16">
        <v>0.0</v>
      </c>
      <c r="AN61" s="8">
        <v>0.0</v>
      </c>
      <c r="AO61" s="22"/>
      <c r="AP61" s="28">
        <v>357.0</v>
      </c>
      <c r="AQ61" s="26">
        <v>2163.0</v>
      </c>
      <c r="AR61" s="26">
        <v>1682.0</v>
      </c>
      <c r="AS61" s="26">
        <v>1439.0</v>
      </c>
      <c r="AT61" s="26">
        <v>1747.0</v>
      </c>
      <c r="AU61" s="26">
        <v>157.0</v>
      </c>
      <c r="AV61" s="27">
        <v>0.8555291319857312</v>
      </c>
      <c r="AW61" s="26">
        <v>14.0</v>
      </c>
      <c r="AX61" s="26">
        <v>18.0</v>
      </c>
      <c r="AY61" s="26">
        <v>18.0</v>
      </c>
      <c r="AZ61" s="26">
        <v>27.0</v>
      </c>
      <c r="BA61" s="26">
        <v>22.0</v>
      </c>
      <c r="BB61" s="26">
        <v>22.0</v>
      </c>
      <c r="BC61" s="27">
        <v>0.17197452229299362</v>
      </c>
      <c r="BD61" s="26">
        <v>0.0</v>
      </c>
      <c r="BE61" s="26">
        <v>0.0</v>
      </c>
      <c r="BF61" s="26">
        <v>0.0</v>
      </c>
      <c r="BG61" s="26">
        <v>0.0</v>
      </c>
      <c r="BH61" s="26">
        <v>0.0</v>
      </c>
      <c r="BI61" s="26">
        <v>0.0</v>
      </c>
    </row>
    <row r="62" spans="1:61" ht="19.15" customHeight="1">
      <c r="A62" s="2"/>
      <c r="B62" s="8"/>
      <c r="C62" s="8" t="s">
        <v>158</v>
      </c>
      <c r="D62" s="15">
        <v>669.0</v>
      </c>
      <c r="E62" s="15">
        <v>1874.0</v>
      </c>
      <c r="F62" s="15">
        <v>2174.0</v>
      </c>
      <c r="G62" s="15">
        <v>1977.0</v>
      </c>
      <c r="H62" s="15">
        <v>1977.0</v>
      </c>
      <c r="I62" s="15">
        <v>0.0</v>
      </c>
      <c r="J62" s="15">
        <v>0.0</v>
      </c>
      <c r="K62" s="15">
        <v>197.0</v>
      </c>
      <c r="L62" s="15">
        <v>1664.0</v>
      </c>
      <c r="M62" s="16">
        <v>0.8620055197792088</v>
      </c>
      <c r="N62" s="16">
        <v>0.9093836246550138</v>
      </c>
      <c r="O62" s="16">
        <v>0.9093836246550138</v>
      </c>
      <c r="P62" s="16">
        <v>0.0906163753449862</v>
      </c>
      <c r="Q62" s="16">
        <v>0.765409383624655</v>
      </c>
      <c r="R62" s="8">
        <v>4.0</v>
      </c>
      <c r="S62" s="8">
        <v>0.0</v>
      </c>
      <c r="T62" s="16">
        <f>IFERROR(S62/R62,"")</f>
        <v>0.0</v>
      </c>
      <c r="U62" s="8">
        <v>4.0</v>
      </c>
      <c r="V62" s="16">
        <v>0.75</v>
      </c>
      <c r="W62" s="16">
        <v>1.0</v>
      </c>
      <c r="X62" s="31">
        <v>4.0</v>
      </c>
      <c r="Y62" s="16">
        <v>1.0</v>
      </c>
      <c r="Z62" s="16">
        <v>0.0</v>
      </c>
      <c r="AA62" s="8">
        <v>2.0</v>
      </c>
      <c r="AB62" s="16">
        <v>1.0</v>
      </c>
      <c r="AC62" s="15">
        <v>0.0</v>
      </c>
      <c r="AD62" s="16">
        <f>IFERROR(AC62/AA62,"")</f>
        <v>0.0</v>
      </c>
      <c r="AE62" s="16">
        <v>0.5</v>
      </c>
      <c r="AF62" s="31">
        <v>1.0</v>
      </c>
      <c r="AG62" s="16">
        <v>0.5</v>
      </c>
      <c r="AH62" s="8">
        <v>3.0</v>
      </c>
      <c r="AI62" s="8">
        <v>0.0</v>
      </c>
      <c r="AJ62" s="16">
        <f>IFERROR(AI62/AH62,"")</f>
        <v>0.0</v>
      </c>
      <c r="AK62" s="16">
        <v>0.9583333333333334</v>
      </c>
      <c r="AL62" s="16">
        <v>0.6666666666666666</v>
      </c>
      <c r="AM62" s="16">
        <v>0.6666666666666666</v>
      </c>
      <c r="AN62" s="8">
        <v>0.0</v>
      </c>
      <c r="AO62" s="22"/>
      <c r="AP62" s="28">
        <v>404.0</v>
      </c>
      <c r="AQ62" s="26">
        <v>2491.0</v>
      </c>
      <c r="AR62" s="26">
        <v>1946.0</v>
      </c>
      <c r="AS62" s="26">
        <v>1667.0</v>
      </c>
      <c r="AT62" s="26">
        <v>2001.0</v>
      </c>
      <c r="AU62" s="26">
        <v>191.0</v>
      </c>
      <c r="AV62" s="27">
        <v>0.8566289825282631</v>
      </c>
      <c r="AW62" s="26">
        <v>13.0</v>
      </c>
      <c r="AX62" s="26">
        <v>14.0</v>
      </c>
      <c r="AY62" s="26">
        <v>29.0</v>
      </c>
      <c r="AZ62" s="26">
        <v>39.0</v>
      </c>
      <c r="BA62" s="26">
        <v>32.0</v>
      </c>
      <c r="BB62" s="26">
        <v>31.0</v>
      </c>
      <c r="BC62" s="27">
        <v>0.20418848167539266</v>
      </c>
      <c r="BD62" s="26">
        <v>0.0</v>
      </c>
      <c r="BE62" s="26">
        <v>0.0</v>
      </c>
      <c r="BF62" s="26">
        <v>0.0</v>
      </c>
      <c r="BG62" s="26">
        <v>0.0</v>
      </c>
      <c r="BH62" s="26">
        <v>0.0</v>
      </c>
      <c r="BI62" s="26">
        <v>0.0</v>
      </c>
    </row>
    <row r="63" spans="1:61" ht="19.15" customHeight="1">
      <c r="A63" s="2"/>
      <c r="B63" s="8"/>
      <c r="C63" s="8" t="s">
        <v>159</v>
      </c>
      <c r="D63" s="15">
        <v>803.0</v>
      </c>
      <c r="E63" s="15">
        <v>2105.0</v>
      </c>
      <c r="F63" s="15">
        <v>2535.0</v>
      </c>
      <c r="G63" s="15">
        <v>2317.0</v>
      </c>
      <c r="H63" s="15">
        <v>2317.0</v>
      </c>
      <c r="I63" s="15">
        <v>0.0</v>
      </c>
      <c r="J63" s="15">
        <v>0.0</v>
      </c>
      <c r="K63" s="15">
        <v>218.0</v>
      </c>
      <c r="L63" s="15">
        <v>1954.0</v>
      </c>
      <c r="M63" s="16">
        <v>0.8303747534516766</v>
      </c>
      <c r="N63" s="16">
        <v>0.9140039447731756</v>
      </c>
      <c r="O63" s="16">
        <v>0.9140039447731756</v>
      </c>
      <c r="P63" s="16">
        <v>0.08599605522682446</v>
      </c>
      <c r="Q63" s="16">
        <v>0.7708086785009862</v>
      </c>
      <c r="R63" s="8">
        <v>5.0</v>
      </c>
      <c r="S63" s="8">
        <v>0.0</v>
      </c>
      <c r="T63" s="16">
        <f>IFERROR(S63/R63,"")</f>
        <v>0.0</v>
      </c>
      <c r="U63" s="8">
        <v>5.0</v>
      </c>
      <c r="V63" s="16">
        <v>1.0</v>
      </c>
      <c r="W63" s="16">
        <v>1.0</v>
      </c>
      <c r="X63" s="31">
        <v>4.0</v>
      </c>
      <c r="Y63" s="16">
        <v>0.8</v>
      </c>
      <c r="Z63" s="16">
        <v>0.0</v>
      </c>
      <c r="AA63" s="8">
        <v>5.0</v>
      </c>
      <c r="AB63" s="16">
        <v>0.9</v>
      </c>
      <c r="AC63" s="15">
        <v>2.0</v>
      </c>
      <c r="AD63" s="16">
        <f>IFERROR(AC63/AA63,"")</f>
        <v>0.4</v>
      </c>
      <c r="AE63" s="16">
        <v>0.6</v>
      </c>
      <c r="AF63" s="31">
        <v>1.0</v>
      </c>
      <c r="AG63" s="16">
        <v>0.2</v>
      </c>
      <c r="AH63" s="8">
        <v>2.0</v>
      </c>
      <c r="AI63" s="8">
        <v>0.0</v>
      </c>
      <c r="AJ63" s="16">
        <f>IFERROR(AI63/AH63,"")</f>
        <v>0.0</v>
      </c>
      <c r="AK63" s="16">
        <v>0.9375</v>
      </c>
      <c r="AL63" s="16">
        <v>0.5</v>
      </c>
      <c r="AM63" s="16">
        <v>0.5</v>
      </c>
      <c r="AN63" s="8">
        <v>0.0</v>
      </c>
      <c r="AO63" s="22"/>
      <c r="AP63" s="28">
        <v>476.0</v>
      </c>
      <c r="AQ63" s="26">
        <v>2947.0</v>
      </c>
      <c r="AR63" s="26">
        <v>2298.0</v>
      </c>
      <c r="AS63" s="26">
        <v>1972.0</v>
      </c>
      <c r="AT63" s="26">
        <v>2454.0</v>
      </c>
      <c r="AU63" s="26">
        <v>217.0</v>
      </c>
      <c r="AV63" s="27">
        <v>0.8581375108790252</v>
      </c>
      <c r="AW63" s="26">
        <v>18.0</v>
      </c>
      <c r="AX63" s="26">
        <v>21.0</v>
      </c>
      <c r="AY63" s="26">
        <v>20.0</v>
      </c>
      <c r="AZ63" s="26">
        <v>22.0</v>
      </c>
      <c r="BA63" s="26">
        <v>17.0</v>
      </c>
      <c r="BB63" s="26">
        <v>17.0</v>
      </c>
      <c r="BC63" s="27">
        <v>0.10138248847926268</v>
      </c>
      <c r="BD63" s="26">
        <v>0.0</v>
      </c>
      <c r="BE63" s="26">
        <v>0.0</v>
      </c>
      <c r="BF63" s="26">
        <v>0.0</v>
      </c>
      <c r="BG63" s="26">
        <v>0.0</v>
      </c>
      <c r="BH63" s="26">
        <v>0.0</v>
      </c>
      <c r="BI63" s="26">
        <v>0.0</v>
      </c>
    </row>
    <row r="64" spans="1:61" ht="19.15" customHeight="1">
      <c r="A64" s="2"/>
      <c r="B64" s="8"/>
      <c r="C64" s="8" t="s">
        <v>160</v>
      </c>
      <c r="D64" s="15">
        <v>452.0</v>
      </c>
      <c r="E64" s="15">
        <v>1112.0</v>
      </c>
      <c r="F64" s="15">
        <v>1352.0</v>
      </c>
      <c r="G64" s="15">
        <v>1237.0</v>
      </c>
      <c r="H64" s="15">
        <v>1237.0</v>
      </c>
      <c r="I64" s="15">
        <v>0.0</v>
      </c>
      <c r="J64" s="15">
        <v>0.0</v>
      </c>
      <c r="K64" s="15">
        <v>115.0</v>
      </c>
      <c r="L64" s="15">
        <v>997.0</v>
      </c>
      <c r="M64" s="16">
        <v>0.8224852071005917</v>
      </c>
      <c r="N64" s="16">
        <v>0.9149408284023669</v>
      </c>
      <c r="O64" s="16">
        <v>0.9149408284023669</v>
      </c>
      <c r="P64" s="16">
        <v>0.08505917159763314</v>
      </c>
      <c r="Q64" s="16">
        <v>0.7374260355029586</v>
      </c>
      <c r="R64" s="8">
        <v>5.0</v>
      </c>
      <c r="S64" s="8">
        <v>0.0</v>
      </c>
      <c r="T64" s="16">
        <f>IFERROR(S64/R64,"")</f>
        <v>0.0</v>
      </c>
      <c r="U64" s="8">
        <v>5.0</v>
      </c>
      <c r="V64" s="16">
        <v>1.0</v>
      </c>
      <c r="W64" s="16">
        <v>1.0</v>
      </c>
      <c r="X64" s="31">
        <v>4.0</v>
      </c>
      <c r="Y64" s="16">
        <v>0.8</v>
      </c>
      <c r="Z64" s="16">
        <v>0.0</v>
      </c>
      <c r="AA64" s="8">
        <v>1.0</v>
      </c>
      <c r="AB64" s="16">
        <v>1.0</v>
      </c>
      <c r="AC64" s="15">
        <v>0.0</v>
      </c>
      <c r="AD64" s="16">
        <f>IFERROR(AC64/AA64,"")</f>
        <v>0.0</v>
      </c>
      <c r="AE64" s="16">
        <v>1.0</v>
      </c>
      <c r="AF64" s="31">
        <v>1.0</v>
      </c>
      <c r="AG64" s="16">
        <v>1.0</v>
      </c>
      <c r="AH64" s="8">
        <v>6.0</v>
      </c>
      <c r="AI64" s="8">
        <v>0.0</v>
      </c>
      <c r="AJ64" s="16">
        <f>IFERROR(AI64/AH64,"")</f>
        <v>0.0</v>
      </c>
      <c r="AK64" s="16">
        <v>0.8958333333333334</v>
      </c>
      <c r="AL64" s="16">
        <v>0.6666666666666666</v>
      </c>
      <c r="AM64" s="16">
        <v>0.16666666666666666</v>
      </c>
      <c r="AN64" s="8">
        <v>0.0</v>
      </c>
      <c r="AO64" s="22"/>
      <c r="AP64" s="28">
        <v>254.0</v>
      </c>
      <c r="AQ64" s="26">
        <v>1563.0</v>
      </c>
      <c r="AR64" s="26">
        <v>1228.0</v>
      </c>
      <c r="AS64" s="26">
        <v>1022.0</v>
      </c>
      <c r="AT64" s="26">
        <v>1256.0</v>
      </c>
      <c r="AU64" s="26">
        <v>115.0</v>
      </c>
      <c r="AV64" s="27">
        <v>0.8322475570032574</v>
      </c>
      <c r="AW64" s="26">
        <v>10.0</v>
      </c>
      <c r="AX64" s="26">
        <v>11.0</v>
      </c>
      <c r="AY64" s="26">
        <v>8.0</v>
      </c>
      <c r="AZ64" s="26">
        <v>10.0</v>
      </c>
      <c r="BA64" s="26">
        <v>10.0</v>
      </c>
      <c r="BB64" s="26">
        <v>10.0</v>
      </c>
      <c r="BC64" s="27">
        <v>0.08695652173913043</v>
      </c>
      <c r="BD64" s="26">
        <v>0.0</v>
      </c>
      <c r="BE64" s="26">
        <v>0.0</v>
      </c>
      <c r="BF64" s="26">
        <v>0.0</v>
      </c>
      <c r="BG64" s="26">
        <v>0.0</v>
      </c>
      <c r="BH64" s="26">
        <v>0.0</v>
      </c>
      <c r="BI64" s="26">
        <v>0.0</v>
      </c>
    </row>
    <row r="65" spans="1:61" ht="19.15" customHeight="1">
      <c r="A65" s="2"/>
      <c r="B65" s="8"/>
      <c r="C65" s="8" t="s">
        <v>161</v>
      </c>
      <c r="D65" s="15">
        <v>668.0</v>
      </c>
      <c r="E65" s="15">
        <v>1835.0</v>
      </c>
      <c r="F65" s="15">
        <v>2138.0</v>
      </c>
      <c r="G65" s="15">
        <v>1964.0</v>
      </c>
      <c r="H65" s="15">
        <v>1963.0</v>
      </c>
      <c r="I65" s="15">
        <v>1.0</v>
      </c>
      <c r="J65" s="15">
        <v>0.0</v>
      </c>
      <c r="K65" s="15">
        <v>174.0</v>
      </c>
      <c r="L65" s="15">
        <v>1708.0</v>
      </c>
      <c r="M65" s="16">
        <v>0.8582787652011226</v>
      </c>
      <c r="N65" s="16">
        <v>0.9181478016838166</v>
      </c>
      <c r="O65" s="16">
        <v>0.9186155285313377</v>
      </c>
      <c r="P65" s="16">
        <v>0.0813844714686623</v>
      </c>
      <c r="Q65" s="16">
        <v>0.7988774555659495</v>
      </c>
      <c r="R65" s="8">
        <v>9.0</v>
      </c>
      <c r="S65" s="8">
        <v>0.0</v>
      </c>
      <c r="T65" s="16">
        <f>IFERROR(S65/R65,"")</f>
        <v>0.0</v>
      </c>
      <c r="U65" s="8">
        <v>9.0</v>
      </c>
      <c r="V65" s="16">
        <v>0.8888888888888888</v>
      </c>
      <c r="W65" s="16">
        <v>1.0</v>
      </c>
      <c r="X65" s="31">
        <v>9.0</v>
      </c>
      <c r="Y65" s="16">
        <v>1.0</v>
      </c>
      <c r="Z65" s="16">
        <v>0.0</v>
      </c>
      <c r="AA65" s="8">
        <v>7.0</v>
      </c>
      <c r="AB65" s="16">
        <v>1.1785714285714286</v>
      </c>
      <c r="AC65" s="15">
        <v>0.0</v>
      </c>
      <c r="AD65" s="16">
        <f>IFERROR(AC65/AA65,"")</f>
        <v>0.0</v>
      </c>
      <c r="AE65" s="16">
        <v>0.7142857142857143</v>
      </c>
      <c r="AF65" s="31">
        <v>5.0</v>
      </c>
      <c r="AG65" s="16">
        <v>0.7142857142857143</v>
      </c>
      <c r="AH65" s="8">
        <v>6.0</v>
      </c>
      <c r="AI65" s="8">
        <v>0.0</v>
      </c>
      <c r="AJ65" s="16">
        <f>IFERROR(AI65/AH65,"")</f>
        <v>0.0</v>
      </c>
      <c r="AK65" s="16">
        <v>0.7708333333333334</v>
      </c>
      <c r="AL65" s="16">
        <v>1.0</v>
      </c>
      <c r="AM65" s="16">
        <v>0.3333333333333333</v>
      </c>
      <c r="AN65" s="8">
        <v>0.0</v>
      </c>
      <c r="AO65" s="22"/>
      <c r="AP65" s="28">
        <v>409.0</v>
      </c>
      <c r="AQ65" s="26">
        <v>2475.0</v>
      </c>
      <c r="AR65" s="26">
        <v>1942.0</v>
      </c>
      <c r="AS65" s="26">
        <v>1663.0</v>
      </c>
      <c r="AT65" s="26">
        <v>2009.0</v>
      </c>
      <c r="AU65" s="26">
        <v>170.0</v>
      </c>
      <c r="AV65" s="27">
        <v>0.8563336766220392</v>
      </c>
      <c r="AW65" s="26">
        <v>15.0</v>
      </c>
      <c r="AX65" s="26">
        <v>16.0</v>
      </c>
      <c r="AY65" s="26">
        <v>25.0</v>
      </c>
      <c r="AZ65" s="26">
        <v>28.0</v>
      </c>
      <c r="BA65" s="26">
        <v>23.0</v>
      </c>
      <c r="BB65" s="26">
        <v>22.0</v>
      </c>
      <c r="BC65" s="27">
        <v>0.16470588235294117</v>
      </c>
      <c r="BD65" s="26">
        <v>0.0</v>
      </c>
      <c r="BE65" s="26">
        <v>0.0</v>
      </c>
      <c r="BF65" s="26">
        <v>0.0</v>
      </c>
      <c r="BG65" s="26">
        <v>0.0</v>
      </c>
      <c r="BH65" s="26">
        <v>0.0</v>
      </c>
      <c r="BI65" s="26">
        <v>0.0</v>
      </c>
    </row>
    <row r="66" spans="1:61" ht="19.15" customHeight="1">
      <c r="A66" s="2"/>
      <c r="B66" s="8"/>
      <c r="C66" s="8" t="s">
        <v>162</v>
      </c>
      <c r="D66" s="15">
        <v>531.0</v>
      </c>
      <c r="E66" s="15">
        <v>1407.0</v>
      </c>
      <c r="F66" s="15">
        <v>1681.0</v>
      </c>
      <c r="G66" s="15">
        <v>1517.0</v>
      </c>
      <c r="H66" s="15">
        <v>1517.0</v>
      </c>
      <c r="I66" s="15">
        <v>0.0</v>
      </c>
      <c r="J66" s="15">
        <v>0.0</v>
      </c>
      <c r="K66" s="15">
        <v>164.0</v>
      </c>
      <c r="L66" s="15">
        <v>1300.0</v>
      </c>
      <c r="M66" s="16">
        <v>0.8370017846519928</v>
      </c>
      <c r="N66" s="16">
        <v>0.9024390243902439</v>
      </c>
      <c r="O66" s="16">
        <v>0.9024390243902439</v>
      </c>
      <c r="P66" s="16">
        <v>0.0975609756097561</v>
      </c>
      <c r="Q66" s="16">
        <v>0.7733491969066032</v>
      </c>
      <c r="R66" s="8">
        <v>6.0</v>
      </c>
      <c r="S66" s="8">
        <v>0.0</v>
      </c>
      <c r="T66" s="16">
        <f>IFERROR(S66/R66,"")</f>
        <v>0.0</v>
      </c>
      <c r="U66" s="8">
        <v>6.0</v>
      </c>
      <c r="V66" s="16">
        <v>0.6666666666666666</v>
      </c>
      <c r="W66" s="16">
        <v>1.0</v>
      </c>
      <c r="X66" s="31">
        <v>6.0</v>
      </c>
      <c r="Y66" s="16">
        <v>1.0</v>
      </c>
      <c r="Z66" s="16">
        <v>0.0</v>
      </c>
      <c r="AA66" s="8">
        <v>5.0</v>
      </c>
      <c r="AB66" s="16">
        <v>1.0</v>
      </c>
      <c r="AC66" s="15">
        <v>0.0</v>
      </c>
      <c r="AD66" s="16">
        <f>IFERROR(AC66/AA66,"")</f>
        <v>0.0</v>
      </c>
      <c r="AE66" s="16">
        <v>1.0</v>
      </c>
      <c r="AF66" s="31">
        <v>5.0</v>
      </c>
      <c r="AG66" s="16">
        <v>1.0</v>
      </c>
      <c r="AH66" s="8">
        <v>5.0</v>
      </c>
      <c r="AI66" s="8">
        <v>0.0</v>
      </c>
      <c r="AJ66" s="16">
        <f>IFERROR(AI66/AH66,"")</f>
        <v>0.0</v>
      </c>
      <c r="AK66" s="16">
        <v>0.775</v>
      </c>
      <c r="AL66" s="16">
        <v>0.8</v>
      </c>
      <c r="AM66" s="16">
        <v>0.0</v>
      </c>
      <c r="AN66" s="8">
        <v>0.0</v>
      </c>
      <c r="AO66" s="22"/>
      <c r="AP66" s="28">
        <v>321.0</v>
      </c>
      <c r="AQ66" s="26">
        <v>1957.0</v>
      </c>
      <c r="AR66" s="26">
        <v>1499.0</v>
      </c>
      <c r="AS66" s="26">
        <v>1272.0</v>
      </c>
      <c r="AT66" s="26">
        <v>1558.0</v>
      </c>
      <c r="AU66" s="26">
        <v>161.0</v>
      </c>
      <c r="AV66" s="27">
        <v>0.8485657104736491</v>
      </c>
      <c r="AW66" s="26">
        <v>10.0</v>
      </c>
      <c r="AX66" s="26">
        <v>15.0</v>
      </c>
      <c r="AY66" s="26">
        <v>17.0</v>
      </c>
      <c r="AZ66" s="26">
        <v>23.0</v>
      </c>
      <c r="BA66" s="26">
        <v>18.0</v>
      </c>
      <c r="BB66" s="26">
        <v>18.0</v>
      </c>
      <c r="BC66" s="27">
        <v>0.14285714285714285</v>
      </c>
      <c r="BD66" s="26">
        <v>0.0</v>
      </c>
      <c r="BE66" s="26">
        <v>0.0</v>
      </c>
      <c r="BF66" s="26">
        <v>0.0</v>
      </c>
      <c r="BG66" s="26">
        <v>0.0</v>
      </c>
      <c r="BH66" s="26">
        <v>0.0</v>
      </c>
      <c r="BI66" s="26">
        <v>0.0</v>
      </c>
    </row>
    <row r="67" spans="1:61" ht="19.15" customHeight="1">
      <c r="A67" s="2"/>
      <c r="B67" s="8" t="s">
        <v>109</v>
      </c>
      <c r="C67" s="8" t="s">
        <v>163</v>
      </c>
      <c r="D67" s="15">
        <v>86.0</v>
      </c>
      <c r="E67" s="15">
        <v>221.0</v>
      </c>
      <c r="F67" s="15">
        <v>271.0</v>
      </c>
      <c r="G67" s="15">
        <v>233.0</v>
      </c>
      <c r="H67" s="15">
        <v>233.0</v>
      </c>
      <c r="I67" s="15">
        <v>0.0</v>
      </c>
      <c r="J67" s="15">
        <v>0.0</v>
      </c>
      <c r="K67" s="15">
        <v>38.0</v>
      </c>
      <c r="L67" s="15">
        <v>212.0</v>
      </c>
      <c r="M67" s="16">
        <v>0.8154981549815498</v>
      </c>
      <c r="N67" s="16">
        <v>0.8597785977859779</v>
      </c>
      <c r="O67" s="16">
        <v>0.8597785977859779</v>
      </c>
      <c r="P67" s="16">
        <v>0.14022140221402213</v>
      </c>
      <c r="Q67" s="16">
        <v>0.7822878228782287</v>
      </c>
      <c r="R67" s="8">
        <v>0.0</v>
      </c>
      <c r="S67" s="8"/>
      <c r="T67" s="16" t="str">
        <f>IFERROR(S67/R67,"")</f>
        <v/>
      </c>
      <c r="U67" s="8">
        <v>0.0</v>
      </c>
      <c r="V67" s="16"/>
      <c r="W67" s="16"/>
      <c r="X67" s="31"/>
      <c r="Y67" s="16"/>
      <c r="Z67" s="16"/>
      <c r="AA67" s="8">
        <v>2.0</v>
      </c>
      <c r="AB67" s="16">
        <v>1.25</v>
      </c>
      <c r="AC67" s="15">
        <v>0.0</v>
      </c>
      <c r="AD67" s="16">
        <f>IFERROR(AC67/AA67,"")</f>
        <v>0.0</v>
      </c>
      <c r="AE67" s="16">
        <v>1.0</v>
      </c>
      <c r="AF67" s="31">
        <v>2.0</v>
      </c>
      <c r="AG67" s="16">
        <v>1.0</v>
      </c>
      <c r="AH67" s="8">
        <v>2.0</v>
      </c>
      <c r="AI67" s="8">
        <v>0.0</v>
      </c>
      <c r="AJ67" s="16">
        <f>IFERROR(AI67/AH67,"")</f>
        <v>0.0</v>
      </c>
      <c r="AK67" s="16">
        <v>0.9375</v>
      </c>
      <c r="AL67" s="16">
        <v>0.5</v>
      </c>
      <c r="AM67" s="16">
        <v>0.0</v>
      </c>
      <c r="AN67" s="8">
        <v>0.0</v>
      </c>
      <c r="AO67" s="22"/>
      <c r="AP67" s="28">
        <v>51.0</v>
      </c>
      <c r="AQ67" s="26">
        <v>319.0</v>
      </c>
      <c r="AR67" s="26">
        <v>231.0</v>
      </c>
      <c r="AS67" s="26">
        <v>199.0</v>
      </c>
      <c r="AT67" s="26">
        <v>245.0</v>
      </c>
      <c r="AU67" s="26">
        <v>38.0</v>
      </c>
      <c r="AV67" s="27">
        <v>0.8614718614718615</v>
      </c>
      <c r="AW67" s="26">
        <v>3.0</v>
      </c>
      <c r="AX67" s="26">
        <v>3.0</v>
      </c>
      <c r="AY67" s="26">
        <v>2.0</v>
      </c>
      <c r="AZ67" s="26">
        <v>2.0</v>
      </c>
      <c r="BA67" s="26">
        <v>2.0</v>
      </c>
      <c r="BB67" s="26">
        <v>2.0</v>
      </c>
      <c r="BC67" s="27">
        <v>0.05263157894736842</v>
      </c>
      <c r="BD67" s="26">
        <v>0.0</v>
      </c>
      <c r="BE67" s="26">
        <v>0.0</v>
      </c>
      <c r="BF67" s="26">
        <v>0.0</v>
      </c>
      <c r="BG67" s="26">
        <v>0.0</v>
      </c>
      <c r="BH67" s="26">
        <v>0.0</v>
      </c>
      <c r="BI67" s="26">
        <v>0.0</v>
      </c>
    </row>
    <row r="68" spans="1:61" ht="19.15" customHeight="1">
      <c r="A68" s="2"/>
      <c r="B68" s="8"/>
      <c r="C68" s="8" t="s">
        <v>164</v>
      </c>
      <c r="D68" s="15">
        <v>372.0</v>
      </c>
      <c r="E68" s="15">
        <v>968.0</v>
      </c>
      <c r="F68" s="15">
        <v>1180.0</v>
      </c>
      <c r="G68" s="15">
        <v>1052.0</v>
      </c>
      <c r="H68" s="15">
        <v>1052.0</v>
      </c>
      <c r="I68" s="15">
        <v>0.0</v>
      </c>
      <c r="J68" s="15">
        <v>0.0</v>
      </c>
      <c r="K68" s="15">
        <v>128.0</v>
      </c>
      <c r="L68" s="15">
        <v>902.0</v>
      </c>
      <c r="M68" s="16">
        <v>0.8203389830508474</v>
      </c>
      <c r="N68" s="16">
        <v>0.8915254237288136</v>
      </c>
      <c r="O68" s="16">
        <v>0.8915254237288136</v>
      </c>
      <c r="P68" s="16">
        <v>0.10847457627118644</v>
      </c>
      <c r="Q68" s="16">
        <v>0.764406779661017</v>
      </c>
      <c r="R68" s="8">
        <v>1.0</v>
      </c>
      <c r="S68" s="8">
        <v>0.0</v>
      </c>
      <c r="T68" s="16">
        <f>IFERROR(S68/R68,"")</f>
        <v>0.0</v>
      </c>
      <c r="U68" s="8">
        <v>1.0</v>
      </c>
      <c r="V68" s="16">
        <v>1.0</v>
      </c>
      <c r="W68" s="16">
        <v>1.0</v>
      </c>
      <c r="X68" s="31">
        <v>0.0</v>
      </c>
      <c r="Y68" s="16">
        <v>0.0</v>
      </c>
      <c r="Z68" s="16">
        <v>0.0</v>
      </c>
      <c r="AA68" s="8">
        <v>4.0</v>
      </c>
      <c r="AB68" s="16">
        <v>1.25</v>
      </c>
      <c r="AC68" s="15">
        <v>0.0</v>
      </c>
      <c r="AD68" s="16">
        <f>IFERROR(AC68/AA68,"")</f>
        <v>0.0</v>
      </c>
      <c r="AE68" s="16">
        <v>1.0</v>
      </c>
      <c r="AF68" s="31">
        <v>3.0</v>
      </c>
      <c r="AG68" s="16">
        <v>0.75</v>
      </c>
      <c r="AH68" s="8">
        <v>5.0</v>
      </c>
      <c r="AI68" s="8">
        <v>0.0</v>
      </c>
      <c r="AJ68" s="16">
        <f>IFERROR(AI68/AH68,"")</f>
        <v>0.0</v>
      </c>
      <c r="AK68" s="16">
        <v>0.95</v>
      </c>
      <c r="AL68" s="16">
        <v>0.8</v>
      </c>
      <c r="AM68" s="16">
        <v>0.8</v>
      </c>
      <c r="AN68" s="8">
        <v>0.0</v>
      </c>
      <c r="AO68" s="22"/>
      <c r="AP68" s="28">
        <v>222.0</v>
      </c>
      <c r="AQ68" s="26">
        <v>1352.0</v>
      </c>
      <c r="AR68" s="26">
        <v>1044.0</v>
      </c>
      <c r="AS68" s="26">
        <v>890.0</v>
      </c>
      <c r="AT68" s="26">
        <v>1079.0</v>
      </c>
      <c r="AU68" s="26">
        <v>124.0</v>
      </c>
      <c r="AV68" s="27">
        <v>0.8524904214559387</v>
      </c>
      <c r="AW68" s="26">
        <v>9.0</v>
      </c>
      <c r="AX68" s="26">
        <v>13.0</v>
      </c>
      <c r="AY68" s="26">
        <v>13.0</v>
      </c>
      <c r="AZ68" s="26">
        <v>16.0</v>
      </c>
      <c r="BA68" s="26">
        <v>12.0</v>
      </c>
      <c r="BB68" s="26">
        <v>11.0</v>
      </c>
      <c r="BC68" s="27">
        <v>0.12903225806451613</v>
      </c>
      <c r="BD68" s="26">
        <v>0.0</v>
      </c>
      <c r="BE68" s="26">
        <v>0.0</v>
      </c>
      <c r="BF68" s="26">
        <v>0.0</v>
      </c>
      <c r="BG68" s="26">
        <v>0.0</v>
      </c>
      <c r="BH68" s="26">
        <v>0.0</v>
      </c>
      <c r="BI68" s="26">
        <v>0.0</v>
      </c>
    </row>
    <row r="69" spans="1:61" ht="19.15" customHeight="1">
      <c r="A69" s="2"/>
      <c r="B69" s="8"/>
      <c r="C69" s="8" t="s">
        <v>165</v>
      </c>
      <c r="D69" s="15">
        <v>723.0</v>
      </c>
      <c r="E69" s="15">
        <v>1844.0</v>
      </c>
      <c r="F69" s="15">
        <v>2233.0</v>
      </c>
      <c r="G69" s="15">
        <v>2030.0</v>
      </c>
      <c r="H69" s="15">
        <v>2030.0</v>
      </c>
      <c r="I69" s="15">
        <v>0.0</v>
      </c>
      <c r="J69" s="15">
        <v>0.0</v>
      </c>
      <c r="K69" s="15">
        <v>203.0</v>
      </c>
      <c r="L69" s="15">
        <v>1706.0</v>
      </c>
      <c r="M69" s="16">
        <v>0.825794894760412</v>
      </c>
      <c r="N69" s="16">
        <v>0.9090909090909091</v>
      </c>
      <c r="O69" s="16">
        <v>0.9090909090909091</v>
      </c>
      <c r="P69" s="16">
        <v>0.09090909090909091</v>
      </c>
      <c r="Q69" s="16">
        <v>0.7639946260635916</v>
      </c>
      <c r="R69" s="8">
        <v>2.0</v>
      </c>
      <c r="S69" s="8">
        <v>0.0</v>
      </c>
      <c r="T69" s="16">
        <f>IFERROR(S69/R69,"")</f>
        <v>0.0</v>
      </c>
      <c r="U69" s="8">
        <v>2.0</v>
      </c>
      <c r="V69" s="16">
        <v>1.0</v>
      </c>
      <c r="W69" s="16">
        <v>1.0</v>
      </c>
      <c r="X69" s="31">
        <v>1.0</v>
      </c>
      <c r="Y69" s="16">
        <v>0.5</v>
      </c>
      <c r="Z69" s="16">
        <v>0.0</v>
      </c>
      <c r="AA69" s="8">
        <v>6.0</v>
      </c>
      <c r="AB69" s="16">
        <v>1.125</v>
      </c>
      <c r="AC69" s="15">
        <v>0.0</v>
      </c>
      <c r="AD69" s="16">
        <f>IFERROR(AC69/AA69,"")</f>
        <v>0.0</v>
      </c>
      <c r="AE69" s="16">
        <v>0.8333333333333334</v>
      </c>
      <c r="AF69" s="31">
        <v>4.0</v>
      </c>
      <c r="AG69" s="16">
        <v>0.6666666666666666</v>
      </c>
      <c r="AH69" s="8">
        <v>4.0</v>
      </c>
      <c r="AI69" s="8">
        <v>0.0</v>
      </c>
      <c r="AJ69" s="16">
        <f>IFERROR(AI69/AH69,"")</f>
        <v>0.0</v>
      </c>
      <c r="AK69" s="16">
        <v>0.78125</v>
      </c>
      <c r="AL69" s="16">
        <v>0.75</v>
      </c>
      <c r="AM69" s="16">
        <v>0.5</v>
      </c>
      <c r="AN69" s="8">
        <v>0.0</v>
      </c>
      <c r="AO69" s="22"/>
      <c r="AP69" s="28">
        <v>416.0</v>
      </c>
      <c r="AQ69" s="26">
        <v>2578.0</v>
      </c>
      <c r="AR69" s="26">
        <v>2020.0</v>
      </c>
      <c r="AS69" s="26">
        <v>1734.0</v>
      </c>
      <c r="AT69" s="26">
        <v>2082.0</v>
      </c>
      <c r="AU69" s="26">
        <v>197.0</v>
      </c>
      <c r="AV69" s="27">
        <v>0.8584158415841584</v>
      </c>
      <c r="AW69" s="26">
        <v>10.0</v>
      </c>
      <c r="AX69" s="26">
        <v>13.0</v>
      </c>
      <c r="AY69" s="26">
        <v>16.0</v>
      </c>
      <c r="AZ69" s="26">
        <v>19.0</v>
      </c>
      <c r="BA69" s="26">
        <v>13.0</v>
      </c>
      <c r="BB69" s="26">
        <v>12.0</v>
      </c>
      <c r="BC69" s="27">
        <v>0.09644670050761421</v>
      </c>
      <c r="BD69" s="26">
        <v>0.0</v>
      </c>
      <c r="BE69" s="26">
        <v>0.0</v>
      </c>
      <c r="BF69" s="26">
        <v>0.0</v>
      </c>
      <c r="BG69" s="26">
        <v>0.0</v>
      </c>
      <c r="BH69" s="26">
        <v>0.0</v>
      </c>
      <c r="BI69" s="26">
        <v>0.0</v>
      </c>
    </row>
    <row r="70" spans="1:61" ht="19.15" customHeight="1">
      <c r="A70" s="2"/>
      <c r="B70" s="8"/>
      <c r="C70" s="8" t="s">
        <v>166</v>
      </c>
      <c r="D70" s="15">
        <v>520.0</v>
      </c>
      <c r="E70" s="15">
        <v>1406.0</v>
      </c>
      <c r="F70" s="15">
        <v>1682.0</v>
      </c>
      <c r="G70" s="15">
        <v>1528.0</v>
      </c>
      <c r="H70" s="15">
        <v>1527.0</v>
      </c>
      <c r="I70" s="15">
        <v>0.0</v>
      </c>
      <c r="J70" s="15">
        <v>1.0</v>
      </c>
      <c r="K70" s="15">
        <v>154.0</v>
      </c>
      <c r="L70" s="15">
        <v>1242.0</v>
      </c>
      <c r="M70" s="16">
        <v>0.835909631391201</v>
      </c>
      <c r="N70" s="16">
        <v>0.9078478002378121</v>
      </c>
      <c r="O70" s="16">
        <v>0.9084423305588585</v>
      </c>
      <c r="P70" s="16">
        <v>0.09155766944114149</v>
      </c>
      <c r="Q70" s="16">
        <v>0.7384066587395958</v>
      </c>
      <c r="R70" s="8">
        <v>5.0</v>
      </c>
      <c r="S70" s="8">
        <v>0.0</v>
      </c>
      <c r="T70" s="16">
        <f>IFERROR(S70/R70,"")</f>
        <v>0.0</v>
      </c>
      <c r="U70" s="8">
        <v>5.0</v>
      </c>
      <c r="V70" s="16">
        <v>0.8</v>
      </c>
      <c r="W70" s="16">
        <v>0.6</v>
      </c>
      <c r="X70" s="31">
        <v>3.0</v>
      </c>
      <c r="Y70" s="16">
        <v>0.6</v>
      </c>
      <c r="Z70" s="16">
        <v>0.0</v>
      </c>
      <c r="AA70" s="8">
        <v>8.0</v>
      </c>
      <c r="AB70" s="16">
        <v>1.0625</v>
      </c>
      <c r="AC70" s="15">
        <v>0.0</v>
      </c>
      <c r="AD70" s="16">
        <f>IFERROR(AC70/AA70,"")</f>
        <v>0.0</v>
      </c>
      <c r="AE70" s="16">
        <v>1.0</v>
      </c>
      <c r="AF70" s="31">
        <v>7.0</v>
      </c>
      <c r="AG70" s="16">
        <v>0.875</v>
      </c>
      <c r="AH70" s="8">
        <v>9.0</v>
      </c>
      <c r="AI70" s="8">
        <v>0.0</v>
      </c>
      <c r="AJ70" s="16">
        <f>IFERROR(AI70/AH70,"")</f>
        <v>0.0</v>
      </c>
      <c r="AK70" s="16">
        <v>0.9305555555555556</v>
      </c>
      <c r="AL70" s="16">
        <v>0.3333333333333333</v>
      </c>
      <c r="AM70" s="16">
        <v>0.1111111111111111</v>
      </c>
      <c r="AN70" s="8">
        <v>0.0</v>
      </c>
      <c r="AO70" s="22"/>
      <c r="AP70" s="28">
        <v>319.0</v>
      </c>
      <c r="AQ70" s="26">
        <v>1955.0</v>
      </c>
      <c r="AR70" s="26">
        <v>1512.0</v>
      </c>
      <c r="AS70" s="26">
        <v>1316.0</v>
      </c>
      <c r="AT70" s="26">
        <v>1557.0</v>
      </c>
      <c r="AU70" s="26">
        <v>153.0</v>
      </c>
      <c r="AV70" s="27">
        <v>0.8703703703703703</v>
      </c>
      <c r="AW70" s="26">
        <v>9.0</v>
      </c>
      <c r="AX70" s="26">
        <v>10.0</v>
      </c>
      <c r="AY70" s="26">
        <v>16.0</v>
      </c>
      <c r="AZ70" s="26">
        <v>22.0</v>
      </c>
      <c r="BA70" s="26">
        <v>18.0</v>
      </c>
      <c r="BB70" s="26">
        <v>17.0</v>
      </c>
      <c r="BC70" s="27">
        <v>0.1437908496732026</v>
      </c>
      <c r="BD70" s="26">
        <v>0.0</v>
      </c>
      <c r="BE70" s="26">
        <v>0.0</v>
      </c>
      <c r="BF70" s="26">
        <v>0.0</v>
      </c>
      <c r="BG70" s="26">
        <v>0.0</v>
      </c>
      <c r="BH70" s="26">
        <v>0.0</v>
      </c>
      <c r="BI70" s="26">
        <v>0.0</v>
      </c>
    </row>
    <row r="71" spans="1:61" ht="19.15" customHeight="1">
      <c r="A71" s="2"/>
      <c r="B71" s="8"/>
      <c r="C71" s="8" t="s">
        <v>167</v>
      </c>
      <c r="D71" s="15">
        <v>357.0</v>
      </c>
      <c r="E71" s="15">
        <v>946.0</v>
      </c>
      <c r="F71" s="15">
        <v>1108.0</v>
      </c>
      <c r="G71" s="15">
        <v>1008.0</v>
      </c>
      <c r="H71" s="15">
        <v>1008.0</v>
      </c>
      <c r="I71" s="15">
        <v>0.0</v>
      </c>
      <c r="J71" s="15">
        <v>0.0</v>
      </c>
      <c r="K71" s="15">
        <v>100.0</v>
      </c>
      <c r="L71" s="15">
        <v>838.0</v>
      </c>
      <c r="M71" s="16">
        <v>0.8537906137184116</v>
      </c>
      <c r="N71" s="16">
        <v>0.9097472924187726</v>
      </c>
      <c r="O71" s="16">
        <v>0.9097472924187726</v>
      </c>
      <c r="P71" s="16">
        <v>0.09025270758122744</v>
      </c>
      <c r="Q71" s="16">
        <v>0.7563176895306859</v>
      </c>
      <c r="R71" s="8">
        <v>6.0</v>
      </c>
      <c r="S71" s="8">
        <v>0.0</v>
      </c>
      <c r="T71" s="16">
        <f>IFERROR(S71/R71,"")</f>
        <v>0.0</v>
      </c>
      <c r="U71" s="8">
        <v>6.0</v>
      </c>
      <c r="V71" s="16">
        <v>1.0</v>
      </c>
      <c r="W71" s="16">
        <v>1.0</v>
      </c>
      <c r="X71" s="31">
        <v>6.0</v>
      </c>
      <c r="Y71" s="16">
        <v>1.0</v>
      </c>
      <c r="Z71" s="16">
        <v>0.0</v>
      </c>
      <c r="AA71" s="8">
        <v>9.0</v>
      </c>
      <c r="AB71" s="16">
        <v>1.0277777777777777</v>
      </c>
      <c r="AC71" s="15">
        <v>0.0</v>
      </c>
      <c r="AD71" s="16">
        <f>IFERROR(AC71/AA71,"")</f>
        <v>0.0</v>
      </c>
      <c r="AE71" s="16">
        <v>0.8888888888888888</v>
      </c>
      <c r="AF71" s="31">
        <v>8.0</v>
      </c>
      <c r="AG71" s="16">
        <v>0.8888888888888888</v>
      </c>
      <c r="AH71" s="8">
        <v>4.0</v>
      </c>
      <c r="AI71" s="8">
        <v>0.0</v>
      </c>
      <c r="AJ71" s="16">
        <f>IFERROR(AI71/AH71,"")</f>
        <v>0.0</v>
      </c>
      <c r="AK71" s="16">
        <v>0.9375</v>
      </c>
      <c r="AL71" s="16">
        <v>0.5</v>
      </c>
      <c r="AM71" s="16">
        <v>0.0</v>
      </c>
      <c r="AN71" s="8">
        <v>0.0</v>
      </c>
      <c r="AO71" s="22"/>
      <c r="AP71" s="28">
        <v>210.0</v>
      </c>
      <c r="AQ71" s="26">
        <v>1313.0</v>
      </c>
      <c r="AR71" s="26">
        <v>1004.0</v>
      </c>
      <c r="AS71" s="26">
        <v>871.0</v>
      </c>
      <c r="AT71" s="26">
        <v>1050.0</v>
      </c>
      <c r="AU71" s="26">
        <v>99.0</v>
      </c>
      <c r="AV71" s="27">
        <v>0.8675298804780877</v>
      </c>
      <c r="AW71" s="26">
        <v>14.0</v>
      </c>
      <c r="AX71" s="26">
        <v>17.0</v>
      </c>
      <c r="AY71" s="26">
        <v>6.0</v>
      </c>
      <c r="AZ71" s="26">
        <v>6.0</v>
      </c>
      <c r="BA71" s="26">
        <v>4.0</v>
      </c>
      <c r="BB71" s="26">
        <v>4.0</v>
      </c>
      <c r="BC71" s="27">
        <v>0.06060606060606061</v>
      </c>
      <c r="BD71" s="26">
        <v>0.0</v>
      </c>
      <c r="BE71" s="26">
        <v>0.0</v>
      </c>
      <c r="BF71" s="26">
        <v>0.0</v>
      </c>
      <c r="BG71" s="26">
        <v>0.0</v>
      </c>
      <c r="BH71" s="26">
        <v>0.0</v>
      </c>
      <c r="BI71" s="26">
        <v>0.0</v>
      </c>
    </row>
    <row r="72" spans="1:61" ht="19.15" customHeight="1">
      <c r="A72" s="2"/>
      <c r="B72" s="8"/>
      <c r="C72" s="8" t="s">
        <v>168</v>
      </c>
      <c r="D72" s="15">
        <v>773.0</v>
      </c>
      <c r="E72" s="15">
        <v>1974.0</v>
      </c>
      <c r="F72" s="15">
        <v>2418.0</v>
      </c>
      <c r="G72" s="15">
        <v>2175.0</v>
      </c>
      <c r="H72" s="15">
        <v>2174.0</v>
      </c>
      <c r="I72" s="15">
        <v>1.0</v>
      </c>
      <c r="J72" s="15">
        <v>0.0</v>
      </c>
      <c r="K72" s="15">
        <v>243.0</v>
      </c>
      <c r="L72" s="15">
        <v>1802.0</v>
      </c>
      <c r="M72" s="16">
        <v>0.8163771712158809</v>
      </c>
      <c r="N72" s="16">
        <v>0.8990901571546733</v>
      </c>
      <c r="O72" s="16">
        <v>0.8995037220843672</v>
      </c>
      <c r="P72" s="16">
        <v>0.10049627791563276</v>
      </c>
      <c r="Q72" s="16">
        <v>0.7452440033085195</v>
      </c>
      <c r="R72" s="8">
        <v>7.0</v>
      </c>
      <c r="S72" s="8">
        <v>0.0</v>
      </c>
      <c r="T72" s="16">
        <f>IFERROR(S72/R72,"")</f>
        <v>0.0</v>
      </c>
      <c r="U72" s="8">
        <v>7.0</v>
      </c>
      <c r="V72" s="16">
        <v>0.8571428571428571</v>
      </c>
      <c r="W72" s="16">
        <v>1.0</v>
      </c>
      <c r="X72" s="31">
        <v>7.0</v>
      </c>
      <c r="Y72" s="16">
        <v>1.0</v>
      </c>
      <c r="Z72" s="16">
        <v>0.0</v>
      </c>
      <c r="AA72" s="8">
        <v>8.0</v>
      </c>
      <c r="AB72" s="16">
        <v>1.21875</v>
      </c>
      <c r="AC72" s="15">
        <v>0.0</v>
      </c>
      <c r="AD72" s="16">
        <f>IFERROR(AC72/AA72,"")</f>
        <v>0.0</v>
      </c>
      <c r="AE72" s="16">
        <v>0.875</v>
      </c>
      <c r="AF72" s="31">
        <v>7.0</v>
      </c>
      <c r="AG72" s="16">
        <v>0.875</v>
      </c>
      <c r="AH72" s="8">
        <v>7.0</v>
      </c>
      <c r="AI72" s="8">
        <v>0.0</v>
      </c>
      <c r="AJ72" s="16">
        <f>IFERROR(AI72/AH72,"")</f>
        <v>0.0</v>
      </c>
      <c r="AK72" s="16">
        <v>0.8035714285714286</v>
      </c>
      <c r="AL72" s="16">
        <v>0.7142857142857143</v>
      </c>
      <c r="AM72" s="16">
        <v>0.42857142857142855</v>
      </c>
      <c r="AN72" s="8">
        <v>0.0</v>
      </c>
      <c r="AO72" s="22"/>
      <c r="AP72" s="28">
        <v>460.0</v>
      </c>
      <c r="AQ72" s="26">
        <v>2822.0</v>
      </c>
      <c r="AR72" s="26">
        <v>2149.0</v>
      </c>
      <c r="AS72" s="26">
        <v>1814.0</v>
      </c>
      <c r="AT72" s="26">
        <v>2249.0</v>
      </c>
      <c r="AU72" s="26">
        <v>241.0</v>
      </c>
      <c r="AV72" s="27">
        <v>0.844113541181945</v>
      </c>
      <c r="AW72" s="26">
        <v>14.0</v>
      </c>
      <c r="AX72" s="26">
        <v>17.0</v>
      </c>
      <c r="AY72" s="26">
        <v>26.0</v>
      </c>
      <c r="AZ72" s="26">
        <v>35.0</v>
      </c>
      <c r="BA72" s="26">
        <v>27.0</v>
      </c>
      <c r="BB72" s="26">
        <v>27.0</v>
      </c>
      <c r="BC72" s="27">
        <v>0.14522821576763487</v>
      </c>
      <c r="BD72" s="26">
        <v>0.0</v>
      </c>
      <c r="BE72" s="26">
        <v>0.0</v>
      </c>
      <c r="BF72" s="26">
        <v>0.0</v>
      </c>
      <c r="BG72" s="26">
        <v>0.0</v>
      </c>
      <c r="BH72" s="26">
        <v>0.0</v>
      </c>
      <c r="BI72" s="26">
        <v>0.0</v>
      </c>
    </row>
    <row r="73" spans="1:61" ht="19.15" customHeight="1">
      <c r="A73" s="2"/>
      <c r="B73" s="8"/>
      <c r="C73" s="8" t="s">
        <v>169</v>
      </c>
      <c r="D73" s="15">
        <v>770.0</v>
      </c>
      <c r="E73" s="15">
        <v>2036.0</v>
      </c>
      <c r="F73" s="15">
        <v>2401.0</v>
      </c>
      <c r="G73" s="15">
        <v>2175.0</v>
      </c>
      <c r="H73" s="15">
        <v>2175.0</v>
      </c>
      <c r="I73" s="15">
        <v>0.0</v>
      </c>
      <c r="J73" s="15">
        <v>0.0</v>
      </c>
      <c r="K73" s="15">
        <v>226.0</v>
      </c>
      <c r="L73" s="15">
        <v>1876.0</v>
      </c>
      <c r="M73" s="16">
        <v>0.8479800083298625</v>
      </c>
      <c r="N73" s="16">
        <v>0.9058725531028738</v>
      </c>
      <c r="O73" s="16">
        <v>0.9058725531028738</v>
      </c>
      <c r="P73" s="16">
        <v>0.0941274468971262</v>
      </c>
      <c r="Q73" s="16">
        <v>0.7813411078717201</v>
      </c>
      <c r="R73" s="8">
        <v>7.0</v>
      </c>
      <c r="S73" s="8">
        <v>0.0</v>
      </c>
      <c r="T73" s="16">
        <f>IFERROR(S73/R73,"")</f>
        <v>0.0</v>
      </c>
      <c r="U73" s="8">
        <v>6.0</v>
      </c>
      <c r="V73" s="16">
        <v>0.8571428571428571</v>
      </c>
      <c r="W73" s="16">
        <v>1.0</v>
      </c>
      <c r="X73" s="31">
        <v>6.0</v>
      </c>
      <c r="Y73" s="16">
        <v>1.0</v>
      </c>
      <c r="Z73" s="16">
        <v>0.0</v>
      </c>
      <c r="AA73" s="8">
        <v>8.0</v>
      </c>
      <c r="AB73" s="16">
        <v>1.125</v>
      </c>
      <c r="AC73" s="15">
        <v>0.0</v>
      </c>
      <c r="AD73" s="16">
        <f>IFERROR(AC73/AA73,"")</f>
        <v>0.0</v>
      </c>
      <c r="AE73" s="16">
        <v>0.75</v>
      </c>
      <c r="AF73" s="31">
        <v>6.0</v>
      </c>
      <c r="AG73" s="16">
        <v>0.75</v>
      </c>
      <c r="AH73" s="8">
        <v>3.0</v>
      </c>
      <c r="AI73" s="8">
        <v>0.0</v>
      </c>
      <c r="AJ73" s="16">
        <f>IFERROR(AI73/AH73,"")</f>
        <v>0.0</v>
      </c>
      <c r="AK73" s="16">
        <v>0.9166666666666666</v>
      </c>
      <c r="AL73" s="16">
        <v>1.0</v>
      </c>
      <c r="AM73" s="16">
        <v>0.6666666666666666</v>
      </c>
      <c r="AN73" s="8">
        <v>0.0</v>
      </c>
      <c r="AO73" s="22"/>
      <c r="AP73" s="28">
        <v>457.0</v>
      </c>
      <c r="AQ73" s="26">
        <v>2811.0</v>
      </c>
      <c r="AR73" s="26">
        <v>2149.0</v>
      </c>
      <c r="AS73" s="26">
        <v>1857.0</v>
      </c>
      <c r="AT73" s="26">
        <v>2222.0</v>
      </c>
      <c r="AU73" s="26">
        <v>222.0</v>
      </c>
      <c r="AV73" s="27">
        <v>0.8641228478362029</v>
      </c>
      <c r="AW73" s="26">
        <v>13.0</v>
      </c>
      <c r="AX73" s="26">
        <v>21.0</v>
      </c>
      <c r="AY73" s="26">
        <v>26.0</v>
      </c>
      <c r="AZ73" s="26">
        <v>32.0</v>
      </c>
      <c r="BA73" s="26">
        <v>27.0</v>
      </c>
      <c r="BB73" s="26">
        <v>25.0</v>
      </c>
      <c r="BC73" s="27">
        <v>0.14414414414414414</v>
      </c>
      <c r="BD73" s="26">
        <v>0.0</v>
      </c>
      <c r="BE73" s="26">
        <v>0.0</v>
      </c>
      <c r="BF73" s="26">
        <v>0.0</v>
      </c>
      <c r="BG73" s="26">
        <v>0.0</v>
      </c>
      <c r="BH73" s="26">
        <v>0.0</v>
      </c>
      <c r="BI73" s="26">
        <v>0.0</v>
      </c>
    </row>
    <row r="74" spans="1:61" ht="19.15" customHeight="1">
      <c r="A74" s="2"/>
      <c r="B74" s="8"/>
      <c r="C74" s="8" t="s">
        <v>170</v>
      </c>
      <c r="D74" s="15">
        <v>607.0</v>
      </c>
      <c r="E74" s="15">
        <v>1643.0</v>
      </c>
      <c r="F74" s="15">
        <v>1871.0</v>
      </c>
      <c r="G74" s="15">
        <v>1723.0</v>
      </c>
      <c r="H74" s="15">
        <v>1723.0</v>
      </c>
      <c r="I74" s="15">
        <v>0.0</v>
      </c>
      <c r="J74" s="15">
        <v>0.0</v>
      </c>
      <c r="K74" s="15">
        <v>148.0</v>
      </c>
      <c r="L74" s="15">
        <v>1452.0</v>
      </c>
      <c r="M74" s="16">
        <v>0.8781400320684126</v>
      </c>
      <c r="N74" s="16">
        <v>0.9208979155531801</v>
      </c>
      <c r="O74" s="16">
        <v>0.9208979155531801</v>
      </c>
      <c r="P74" s="16">
        <v>0.07910208444681988</v>
      </c>
      <c r="Q74" s="16">
        <v>0.7760555852485302</v>
      </c>
      <c r="R74" s="8">
        <v>5.0</v>
      </c>
      <c r="S74" s="8">
        <v>0.0</v>
      </c>
      <c r="T74" s="16">
        <f>IFERROR(S74/R74,"")</f>
        <v>0.0</v>
      </c>
      <c r="U74" s="8">
        <v>4.0</v>
      </c>
      <c r="V74" s="16">
        <v>0.8</v>
      </c>
      <c r="W74" s="16">
        <v>1.0</v>
      </c>
      <c r="X74" s="31">
        <v>4.0</v>
      </c>
      <c r="Y74" s="16">
        <v>1.0</v>
      </c>
      <c r="Z74" s="16">
        <v>0.0</v>
      </c>
      <c r="AA74" s="8">
        <v>7.0</v>
      </c>
      <c r="AB74" s="16">
        <v>1.2142857142857142</v>
      </c>
      <c r="AC74" s="15">
        <v>0.0</v>
      </c>
      <c r="AD74" s="16">
        <f>IFERROR(AC74/AA74,"")</f>
        <v>0.0</v>
      </c>
      <c r="AE74" s="16">
        <v>0.8571428571428571</v>
      </c>
      <c r="AF74" s="31">
        <v>6.0</v>
      </c>
      <c r="AG74" s="16">
        <v>0.8571428571428571</v>
      </c>
      <c r="AH74" s="8">
        <v>6.0</v>
      </c>
      <c r="AI74" s="8">
        <v>0.0</v>
      </c>
      <c r="AJ74" s="16">
        <f>IFERROR(AI74/AH74,"")</f>
        <v>0.0</v>
      </c>
      <c r="AK74" s="16">
        <v>0.8958333333333334</v>
      </c>
      <c r="AL74" s="16">
        <v>0.8333333333333334</v>
      </c>
      <c r="AM74" s="16">
        <v>0.6666666666666666</v>
      </c>
      <c r="AN74" s="8">
        <v>0.0</v>
      </c>
      <c r="AO74" s="22"/>
      <c r="AP74" s="28">
        <v>360.0</v>
      </c>
      <c r="AQ74" s="26">
        <v>2188.0</v>
      </c>
      <c r="AR74" s="26">
        <v>1707.0</v>
      </c>
      <c r="AS74" s="26">
        <v>1457.0</v>
      </c>
      <c r="AT74" s="26">
        <v>1744.0</v>
      </c>
      <c r="AU74" s="26">
        <v>144.0</v>
      </c>
      <c r="AV74" s="27">
        <v>0.8535442296426479</v>
      </c>
      <c r="AW74" s="26">
        <v>8.0</v>
      </c>
      <c r="AX74" s="26">
        <v>9.0</v>
      </c>
      <c r="AY74" s="26">
        <v>19.0</v>
      </c>
      <c r="AZ74" s="26">
        <v>29.0</v>
      </c>
      <c r="BA74" s="26">
        <v>20.0</v>
      </c>
      <c r="BB74" s="26">
        <v>18.0</v>
      </c>
      <c r="BC74" s="27">
        <v>0.2013888888888889</v>
      </c>
      <c r="BD74" s="26">
        <v>0.0</v>
      </c>
      <c r="BE74" s="26">
        <v>0.0</v>
      </c>
      <c r="BF74" s="26">
        <v>0.0</v>
      </c>
      <c r="BG74" s="26">
        <v>0.0</v>
      </c>
      <c r="BH74" s="26">
        <v>0.0</v>
      </c>
      <c r="BI74" s="26">
        <v>0.0</v>
      </c>
    </row>
    <row r="75" spans="1:61" ht="19.15" customHeight="1">
      <c r="A75" s="2"/>
      <c r="B75" s="8"/>
      <c r="C75" s="8" t="s">
        <v>171</v>
      </c>
      <c r="D75" s="15">
        <v>851.0</v>
      </c>
      <c r="E75" s="15">
        <v>2198.0</v>
      </c>
      <c r="F75" s="15">
        <v>2621.0</v>
      </c>
      <c r="G75" s="15">
        <v>2368.0</v>
      </c>
      <c r="H75" s="15">
        <v>2368.0</v>
      </c>
      <c r="I75" s="15">
        <v>0.0</v>
      </c>
      <c r="J75" s="15">
        <v>0.0</v>
      </c>
      <c r="K75" s="15">
        <v>253.0</v>
      </c>
      <c r="L75" s="15">
        <v>2009.0</v>
      </c>
      <c r="M75" s="16">
        <v>0.8386112170927127</v>
      </c>
      <c r="N75" s="16">
        <v>0.9034719572682183</v>
      </c>
      <c r="O75" s="16">
        <v>0.9034719572682183</v>
      </c>
      <c r="P75" s="16">
        <v>0.09652804273178177</v>
      </c>
      <c r="Q75" s="16">
        <v>0.7665013353681801</v>
      </c>
      <c r="R75" s="8">
        <v>4.0</v>
      </c>
      <c r="S75" s="8">
        <v>0.0</v>
      </c>
      <c r="T75" s="16">
        <f>IFERROR(S75/R75,"")</f>
        <v>0.0</v>
      </c>
      <c r="U75" s="8">
        <v>4.0</v>
      </c>
      <c r="V75" s="16">
        <v>1.0</v>
      </c>
      <c r="W75" s="16">
        <v>1.0</v>
      </c>
      <c r="X75" s="31">
        <v>4.0</v>
      </c>
      <c r="Y75" s="16">
        <v>1.0</v>
      </c>
      <c r="Z75" s="16">
        <v>0.0</v>
      </c>
      <c r="AA75" s="8">
        <v>9.0</v>
      </c>
      <c r="AB75" s="16">
        <v>1.3888888888888888</v>
      </c>
      <c r="AC75" s="15">
        <v>0.0</v>
      </c>
      <c r="AD75" s="16">
        <f>IFERROR(AC75/AA75,"")</f>
        <v>0.0</v>
      </c>
      <c r="AE75" s="16">
        <v>0.8888888888888888</v>
      </c>
      <c r="AF75" s="31">
        <v>8.0</v>
      </c>
      <c r="AG75" s="16">
        <v>0.8888888888888888</v>
      </c>
      <c r="AH75" s="8">
        <v>9.0</v>
      </c>
      <c r="AI75" s="8">
        <v>0.0</v>
      </c>
      <c r="AJ75" s="16">
        <f>IFERROR(AI75/AH75,"")</f>
        <v>0.0</v>
      </c>
      <c r="AK75" s="16">
        <v>0.9166666666666666</v>
      </c>
      <c r="AL75" s="16">
        <v>0.7777777777777778</v>
      </c>
      <c r="AM75" s="16">
        <v>0.4444444444444444</v>
      </c>
      <c r="AN75" s="8">
        <v>0.0</v>
      </c>
      <c r="AO75" s="22"/>
      <c r="AP75" s="28">
        <v>494.0</v>
      </c>
      <c r="AQ75" s="26">
        <v>3054.0</v>
      </c>
      <c r="AR75" s="26">
        <v>2330.0</v>
      </c>
      <c r="AS75" s="26">
        <v>1991.0</v>
      </c>
      <c r="AT75" s="26">
        <v>2432.0</v>
      </c>
      <c r="AU75" s="26">
        <v>248.0</v>
      </c>
      <c r="AV75" s="27">
        <v>0.8545064377682403</v>
      </c>
      <c r="AW75" s="26">
        <v>18.0</v>
      </c>
      <c r="AX75" s="26">
        <v>24.0</v>
      </c>
      <c r="AY75" s="26">
        <v>31.0</v>
      </c>
      <c r="AZ75" s="26">
        <v>42.0</v>
      </c>
      <c r="BA75" s="26">
        <v>35.0</v>
      </c>
      <c r="BB75" s="26">
        <v>33.0</v>
      </c>
      <c r="BC75" s="27">
        <v>0.1693548387096774</v>
      </c>
      <c r="BD75" s="26">
        <v>0.0</v>
      </c>
      <c r="BE75" s="26">
        <v>0.0</v>
      </c>
      <c r="BF75" s="26">
        <v>0.0</v>
      </c>
      <c r="BG75" s="26">
        <v>0.0</v>
      </c>
      <c r="BH75" s="26">
        <v>0.0</v>
      </c>
      <c r="BI75" s="26">
        <v>0.0</v>
      </c>
    </row>
    <row r="76" spans="1:61" ht="19.15" customHeight="1">
      <c r="A76" s="2"/>
      <c r="B76" s="8" t="s">
        <v>110</v>
      </c>
      <c r="C76" s="8" t="s">
        <v>172</v>
      </c>
      <c r="D76" s="15">
        <v>630.0</v>
      </c>
      <c r="E76" s="15">
        <v>1544.0</v>
      </c>
      <c r="F76" s="15">
        <v>1881.0</v>
      </c>
      <c r="G76" s="15">
        <v>1712.0</v>
      </c>
      <c r="H76" s="15">
        <v>1712.0</v>
      </c>
      <c r="I76" s="15">
        <v>0.0</v>
      </c>
      <c r="J76" s="15">
        <v>0.0</v>
      </c>
      <c r="K76" s="15">
        <v>169.0</v>
      </c>
      <c r="L76" s="15">
        <v>1462.0</v>
      </c>
      <c r="M76" s="16">
        <v>0.8208399787347156</v>
      </c>
      <c r="N76" s="16">
        <v>0.910154173312068</v>
      </c>
      <c r="O76" s="16">
        <v>0.910154173312068</v>
      </c>
      <c r="P76" s="16">
        <v>0.08984582668793195</v>
      </c>
      <c r="Q76" s="16">
        <v>0.7772461456671983</v>
      </c>
      <c r="R76" s="8">
        <v>7.0</v>
      </c>
      <c r="S76" s="8">
        <v>0.0</v>
      </c>
      <c r="T76" s="16">
        <f>IFERROR(S76/R76,"")</f>
        <v>0.0</v>
      </c>
      <c r="U76" s="8">
        <v>7.0</v>
      </c>
      <c r="V76" s="16">
        <v>1.0</v>
      </c>
      <c r="W76" s="16">
        <v>1.0</v>
      </c>
      <c r="X76" s="31">
        <v>5.0</v>
      </c>
      <c r="Y76" s="16">
        <v>0.7142857142857143</v>
      </c>
      <c r="Z76" s="16">
        <v>0.0</v>
      </c>
      <c r="AA76" s="8">
        <v>10.0</v>
      </c>
      <c r="AB76" s="16">
        <v>0.95</v>
      </c>
      <c r="AC76" s="15">
        <v>1.0</v>
      </c>
      <c r="AD76" s="16">
        <f>IFERROR(AC76/AA76,"")</f>
        <v>0.1</v>
      </c>
      <c r="AE76" s="16">
        <v>0.7</v>
      </c>
      <c r="AF76" s="31">
        <v>7.0</v>
      </c>
      <c r="AG76" s="16">
        <v>0.7</v>
      </c>
      <c r="AH76" s="8">
        <v>4.0</v>
      </c>
      <c r="AI76" s="8">
        <v>0.0</v>
      </c>
      <c r="AJ76" s="16">
        <f>IFERROR(AI76/AH76,"")</f>
        <v>0.0</v>
      </c>
      <c r="AK76" s="16">
        <v>0.9375</v>
      </c>
      <c r="AL76" s="16">
        <v>0.75</v>
      </c>
      <c r="AM76" s="16">
        <v>0.5</v>
      </c>
      <c r="AN76" s="8">
        <v>0.0</v>
      </c>
      <c r="AO76" s="22"/>
      <c r="AP76" s="28">
        <v>356.0</v>
      </c>
      <c r="AQ76" s="26">
        <v>2194.0</v>
      </c>
      <c r="AR76" s="26">
        <v>1691.0</v>
      </c>
      <c r="AS76" s="26">
        <v>1396.0</v>
      </c>
      <c r="AT76" s="26">
        <v>1727.0</v>
      </c>
      <c r="AU76" s="26">
        <v>163.0</v>
      </c>
      <c r="AV76" s="27">
        <v>0.8255470136014192</v>
      </c>
      <c r="AW76" s="26">
        <v>11.0</v>
      </c>
      <c r="AX76" s="26">
        <v>11.0</v>
      </c>
      <c r="AY76" s="26">
        <v>23.0</v>
      </c>
      <c r="AZ76" s="26">
        <v>29.0</v>
      </c>
      <c r="BA76" s="26">
        <v>22.0</v>
      </c>
      <c r="BB76" s="26">
        <v>22.0</v>
      </c>
      <c r="BC76" s="27">
        <v>0.17791411042944785</v>
      </c>
      <c r="BD76" s="26">
        <v>0.0</v>
      </c>
      <c r="BE76" s="26">
        <v>0.0</v>
      </c>
      <c r="BF76" s="26">
        <v>0.0</v>
      </c>
      <c r="BG76" s="26">
        <v>0.0</v>
      </c>
      <c r="BH76" s="26">
        <v>0.0</v>
      </c>
      <c r="BI76" s="26">
        <v>0.0</v>
      </c>
    </row>
    <row r="77" spans="1:61" ht="19.15" customHeight="1">
      <c r="A77" s="2"/>
      <c r="B77" s="8"/>
      <c r="C77" s="8" t="s">
        <v>173</v>
      </c>
      <c r="D77" s="15">
        <v>647.0</v>
      </c>
      <c r="E77" s="15">
        <v>1727.0</v>
      </c>
      <c r="F77" s="15">
        <v>2032.0</v>
      </c>
      <c r="G77" s="15">
        <v>1834.0</v>
      </c>
      <c r="H77" s="15">
        <v>1834.0</v>
      </c>
      <c r="I77" s="15">
        <v>0.0</v>
      </c>
      <c r="J77" s="15">
        <v>0.0</v>
      </c>
      <c r="K77" s="15">
        <v>198.0</v>
      </c>
      <c r="L77" s="15">
        <v>1568.0</v>
      </c>
      <c r="M77" s="16">
        <v>0.8499015748031497</v>
      </c>
      <c r="N77" s="16">
        <v>0.9025590551181102</v>
      </c>
      <c r="O77" s="16">
        <v>0.9025590551181102</v>
      </c>
      <c r="P77" s="16">
        <v>0.09744094488188976</v>
      </c>
      <c r="Q77" s="16">
        <v>0.7716535433070866</v>
      </c>
      <c r="R77" s="8">
        <v>5.0</v>
      </c>
      <c r="S77" s="8">
        <v>0.0</v>
      </c>
      <c r="T77" s="16">
        <f>IFERROR(S77/R77,"")</f>
        <v>0.0</v>
      </c>
      <c r="U77" s="8">
        <v>5.0</v>
      </c>
      <c r="V77" s="16">
        <v>1.0</v>
      </c>
      <c r="W77" s="16">
        <v>1.0</v>
      </c>
      <c r="X77" s="31">
        <v>4.0</v>
      </c>
      <c r="Y77" s="16">
        <v>0.8</v>
      </c>
      <c r="Z77" s="16">
        <v>0.0</v>
      </c>
      <c r="AA77" s="8">
        <v>8.0</v>
      </c>
      <c r="AB77" s="16">
        <v>1.0</v>
      </c>
      <c r="AC77" s="15">
        <v>0.0</v>
      </c>
      <c r="AD77" s="16">
        <f>IFERROR(AC77/AA77,"")</f>
        <v>0.0</v>
      </c>
      <c r="AE77" s="16">
        <v>1.0</v>
      </c>
      <c r="AF77" s="31">
        <v>7.0</v>
      </c>
      <c r="AG77" s="16">
        <v>0.875</v>
      </c>
      <c r="AH77" s="8">
        <v>10.0</v>
      </c>
      <c r="AI77" s="8">
        <v>0.0</v>
      </c>
      <c r="AJ77" s="16">
        <f>IFERROR(AI77/AH77,"")</f>
        <v>0.0</v>
      </c>
      <c r="AK77" s="16">
        <v>0.8875</v>
      </c>
      <c r="AL77" s="16">
        <v>0.6</v>
      </c>
      <c r="AM77" s="16">
        <v>0.3</v>
      </c>
      <c r="AN77" s="8">
        <v>0.0</v>
      </c>
      <c r="AO77" s="22"/>
      <c r="AP77" s="28">
        <v>379.0</v>
      </c>
      <c r="AQ77" s="26">
        <v>2354.0</v>
      </c>
      <c r="AR77" s="26">
        <v>1819.0</v>
      </c>
      <c r="AS77" s="26">
        <v>1531.0</v>
      </c>
      <c r="AT77" s="26">
        <v>1867.0</v>
      </c>
      <c r="AU77" s="26">
        <v>196.0</v>
      </c>
      <c r="AV77" s="27">
        <v>0.8416712479384277</v>
      </c>
      <c r="AW77" s="26">
        <v>18.0</v>
      </c>
      <c r="AX77" s="26">
        <v>19.0</v>
      </c>
      <c r="AY77" s="26">
        <v>19.0</v>
      </c>
      <c r="AZ77" s="26">
        <v>23.0</v>
      </c>
      <c r="BA77" s="26">
        <v>18.0</v>
      </c>
      <c r="BB77" s="26">
        <v>18.0</v>
      </c>
      <c r="BC77" s="27">
        <v>0.11734693877551021</v>
      </c>
      <c r="BD77" s="26">
        <v>0.0</v>
      </c>
      <c r="BE77" s="26">
        <v>0.0</v>
      </c>
      <c r="BF77" s="26">
        <v>0.0</v>
      </c>
      <c r="BG77" s="26">
        <v>0.0</v>
      </c>
      <c r="BH77" s="26">
        <v>0.0</v>
      </c>
      <c r="BI77" s="26">
        <v>0.0</v>
      </c>
    </row>
    <row r="78" spans="1:61" ht="19.15" customHeight="1">
      <c r="A78" s="2"/>
      <c r="B78" s="8"/>
      <c r="C78" s="8" t="s">
        <v>174</v>
      </c>
      <c r="D78" s="15">
        <v>292.0</v>
      </c>
      <c r="E78" s="15">
        <v>788.0</v>
      </c>
      <c r="F78" s="15">
        <v>910.0</v>
      </c>
      <c r="G78" s="15">
        <v>829.0</v>
      </c>
      <c r="H78" s="15">
        <v>829.0</v>
      </c>
      <c r="I78" s="15">
        <v>0.0</v>
      </c>
      <c r="J78" s="15">
        <v>0.0</v>
      </c>
      <c r="K78" s="15">
        <v>81.0</v>
      </c>
      <c r="L78" s="15">
        <v>724.0</v>
      </c>
      <c r="M78" s="16">
        <v>0.865934065934066</v>
      </c>
      <c r="N78" s="16">
        <v>0.910989010989011</v>
      </c>
      <c r="O78" s="16">
        <v>0.910989010989011</v>
      </c>
      <c r="P78" s="16">
        <v>0.08901098901098901</v>
      </c>
      <c r="Q78" s="16">
        <v>0.7956043956043956</v>
      </c>
      <c r="R78" s="8">
        <v>2.0</v>
      </c>
      <c r="S78" s="8">
        <v>0.0</v>
      </c>
      <c r="T78" s="16">
        <f>IFERROR(S78/R78,"")</f>
        <v>0.0</v>
      </c>
      <c r="U78" s="8">
        <v>2.0</v>
      </c>
      <c r="V78" s="16">
        <v>1.0</v>
      </c>
      <c r="W78" s="16">
        <v>1.0</v>
      </c>
      <c r="X78" s="31">
        <v>1.0</v>
      </c>
      <c r="Y78" s="16">
        <v>0.5</v>
      </c>
      <c r="Z78" s="16">
        <v>0.0</v>
      </c>
      <c r="AA78" s="8">
        <v>3.0</v>
      </c>
      <c r="AB78" s="16">
        <v>1.1666666666666667</v>
      </c>
      <c r="AC78" s="15">
        <v>0.0</v>
      </c>
      <c r="AD78" s="16">
        <f>IFERROR(AC78/AA78,"")</f>
        <v>0.0</v>
      </c>
      <c r="AE78" s="16">
        <v>0.6666666666666666</v>
      </c>
      <c r="AF78" s="31">
        <v>1.0</v>
      </c>
      <c r="AG78" s="16">
        <v>0.3333333333333333</v>
      </c>
      <c r="AH78" s="8">
        <v>4.0</v>
      </c>
      <c r="AI78" s="8">
        <v>0.0</v>
      </c>
      <c r="AJ78" s="16">
        <f>IFERROR(AI78/AH78,"")</f>
        <v>0.0</v>
      </c>
      <c r="AK78" s="16">
        <v>0.9375</v>
      </c>
      <c r="AL78" s="16">
        <v>0.5</v>
      </c>
      <c r="AM78" s="16">
        <v>0.0</v>
      </c>
      <c r="AN78" s="8">
        <v>0.0</v>
      </c>
      <c r="AO78" s="22"/>
      <c r="AP78" s="28">
        <v>168.0</v>
      </c>
      <c r="AQ78" s="26">
        <v>1053.0</v>
      </c>
      <c r="AR78" s="26">
        <v>814.0</v>
      </c>
      <c r="AS78" s="26">
        <v>689.0</v>
      </c>
      <c r="AT78" s="26">
        <v>828.0</v>
      </c>
      <c r="AU78" s="26">
        <v>79.0</v>
      </c>
      <c r="AV78" s="27">
        <v>0.8464373464373465</v>
      </c>
      <c r="AW78" s="26">
        <v>8.0</v>
      </c>
      <c r="AX78" s="26">
        <v>8.0</v>
      </c>
      <c r="AY78" s="26">
        <v>14.0</v>
      </c>
      <c r="AZ78" s="26">
        <v>19.0</v>
      </c>
      <c r="BA78" s="26">
        <v>15.0</v>
      </c>
      <c r="BB78" s="26">
        <v>15.0</v>
      </c>
      <c r="BC78" s="27">
        <v>0.24050632911392406</v>
      </c>
      <c r="BD78" s="26">
        <v>0.0</v>
      </c>
      <c r="BE78" s="26">
        <v>0.0</v>
      </c>
      <c r="BF78" s="26">
        <v>0.0</v>
      </c>
      <c r="BG78" s="26">
        <v>0.0</v>
      </c>
      <c r="BH78" s="26">
        <v>0.0</v>
      </c>
      <c r="BI78" s="26">
        <v>0.0</v>
      </c>
    </row>
    <row r="79" spans="1:61" ht="19.15" customHeight="1">
      <c r="A79" s="2"/>
      <c r="B79" s="8"/>
      <c r="C79" s="8" t="s">
        <v>175</v>
      </c>
      <c r="D79" s="15">
        <v>597.0</v>
      </c>
      <c r="E79" s="15">
        <v>1546.0</v>
      </c>
      <c r="F79" s="15">
        <v>1810.0</v>
      </c>
      <c r="G79" s="15">
        <v>1646.0</v>
      </c>
      <c r="H79" s="15">
        <v>1646.0</v>
      </c>
      <c r="I79" s="15">
        <v>0.0</v>
      </c>
      <c r="J79" s="15">
        <v>0.0</v>
      </c>
      <c r="K79" s="15">
        <v>164.0</v>
      </c>
      <c r="L79" s="15">
        <v>1410.0</v>
      </c>
      <c r="M79" s="16">
        <v>0.8541436464088398</v>
      </c>
      <c r="N79" s="16">
        <v>0.9093922651933701</v>
      </c>
      <c r="O79" s="16">
        <v>0.9093922651933701</v>
      </c>
      <c r="P79" s="16">
        <v>0.09060773480662983</v>
      </c>
      <c r="Q79" s="16">
        <v>0.7790055248618785</v>
      </c>
      <c r="R79" s="8">
        <v>11.0</v>
      </c>
      <c r="S79" s="8">
        <v>0.0</v>
      </c>
      <c r="T79" s="16">
        <f>IFERROR(S79/R79,"")</f>
        <v>0.0</v>
      </c>
      <c r="U79" s="8">
        <v>11.0</v>
      </c>
      <c r="V79" s="16">
        <v>0.8181818181818182</v>
      </c>
      <c r="W79" s="16">
        <v>0.9090909090909091</v>
      </c>
      <c r="X79" s="31">
        <v>10.0</v>
      </c>
      <c r="Y79" s="16">
        <v>0.9090909090909091</v>
      </c>
      <c r="Z79" s="16">
        <v>0.0</v>
      </c>
      <c r="AA79" s="8">
        <v>10.0</v>
      </c>
      <c r="AB79" s="16">
        <v>0.925</v>
      </c>
      <c r="AC79" s="15">
        <v>0.0</v>
      </c>
      <c r="AD79" s="16">
        <f>IFERROR(AC79/AA79,"")</f>
        <v>0.0</v>
      </c>
      <c r="AE79" s="16">
        <v>0.9</v>
      </c>
      <c r="AF79" s="31">
        <v>9.0</v>
      </c>
      <c r="AG79" s="16">
        <v>0.9</v>
      </c>
      <c r="AH79" s="8">
        <v>11.0</v>
      </c>
      <c r="AI79" s="8">
        <v>0.0</v>
      </c>
      <c r="AJ79" s="16">
        <f>IFERROR(AI79/AH79,"")</f>
        <v>0.0</v>
      </c>
      <c r="AK79" s="16">
        <v>0.9090909090909091</v>
      </c>
      <c r="AL79" s="16">
        <v>0.8181818181818182</v>
      </c>
      <c r="AM79" s="16">
        <v>0.18181818181818182</v>
      </c>
      <c r="AN79" s="8">
        <v>0.0</v>
      </c>
      <c r="AO79" s="22"/>
      <c r="AP79" s="28">
        <v>349.0</v>
      </c>
      <c r="AQ79" s="26">
        <v>2092.0</v>
      </c>
      <c r="AR79" s="26">
        <v>1631.0</v>
      </c>
      <c r="AS79" s="26">
        <v>1416.0</v>
      </c>
      <c r="AT79" s="26">
        <v>1690.0</v>
      </c>
      <c r="AU79" s="26">
        <v>162.0</v>
      </c>
      <c r="AV79" s="27">
        <v>0.8681790312691601</v>
      </c>
      <c r="AW79" s="26">
        <v>7.0</v>
      </c>
      <c r="AX79" s="26">
        <v>7.0</v>
      </c>
      <c r="AY79" s="26">
        <v>15.0</v>
      </c>
      <c r="AZ79" s="26">
        <v>21.0</v>
      </c>
      <c r="BA79" s="26">
        <v>17.0</v>
      </c>
      <c r="BB79" s="26">
        <v>17.0</v>
      </c>
      <c r="BC79" s="27">
        <v>0.12962962962962962</v>
      </c>
      <c r="BD79" s="26">
        <v>0.0</v>
      </c>
      <c r="BE79" s="26">
        <v>0.0</v>
      </c>
      <c r="BF79" s="26">
        <v>0.0</v>
      </c>
      <c r="BG79" s="26">
        <v>0.0</v>
      </c>
      <c r="BH79" s="26">
        <v>0.0</v>
      </c>
      <c r="BI79" s="26">
        <v>0.0</v>
      </c>
    </row>
    <row r="80" spans="1:61" ht="19.15" customHeight="1">
      <c r="A80" s="2"/>
      <c r="B80" s="8"/>
      <c r="C80" s="8" t="s">
        <v>176</v>
      </c>
      <c r="D80" s="15">
        <v>252.0</v>
      </c>
      <c r="E80" s="15">
        <v>669.0</v>
      </c>
      <c r="F80" s="15">
        <v>798.0</v>
      </c>
      <c r="G80" s="15">
        <v>717.0</v>
      </c>
      <c r="H80" s="15">
        <v>717.0</v>
      </c>
      <c r="I80" s="15">
        <v>0.0</v>
      </c>
      <c r="J80" s="15">
        <v>0.0</v>
      </c>
      <c r="K80" s="15">
        <v>81.0</v>
      </c>
      <c r="L80" s="15">
        <v>575.0</v>
      </c>
      <c r="M80" s="16">
        <v>0.8383458646616542</v>
      </c>
      <c r="N80" s="16">
        <v>0.8984962406015038</v>
      </c>
      <c r="O80" s="16">
        <v>0.8984962406015038</v>
      </c>
      <c r="P80" s="16">
        <v>0.10150375939849623</v>
      </c>
      <c r="Q80" s="16">
        <v>0.7205513784461153</v>
      </c>
      <c r="R80" s="8">
        <v>0.0</v>
      </c>
      <c r="S80" s="8"/>
      <c r="T80" s="16" t="str">
        <f>IFERROR(S80/R80,"")</f>
        <v/>
      </c>
      <c r="U80" s="8">
        <v>0.0</v>
      </c>
      <c r="V80" s="16"/>
      <c r="W80" s="16"/>
      <c r="X80" s="31"/>
      <c r="Y80" s="16"/>
      <c r="Z80" s="16"/>
      <c r="AA80" s="8">
        <v>0.0</v>
      </c>
      <c r="AB80" s="16"/>
      <c r="AC80" s="15"/>
      <c r="AD80" s="16" t="str">
        <f>IFERROR(AC80/AA80,"")</f>
        <v/>
      </c>
      <c r="AE80" s="16"/>
      <c r="AF80" s="31"/>
      <c r="AG80" s="16"/>
      <c r="AH80" s="8">
        <v>0.0</v>
      </c>
      <c r="AI80" s="8"/>
      <c r="AJ80" s="16" t="str">
        <f>IFERROR(AI80/AH80,"")</f>
        <v/>
      </c>
      <c r="AK80" s="16"/>
      <c r="AL80" s="16"/>
      <c r="AM80" s="16"/>
      <c r="AN80" s="8">
        <v>0.0</v>
      </c>
      <c r="AO80" s="22"/>
      <c r="AP80" s="28">
        <v>145.0</v>
      </c>
      <c r="AQ80" s="26">
        <v>912.0</v>
      </c>
      <c r="AR80" s="26">
        <v>711.0</v>
      </c>
      <c r="AS80" s="26">
        <v>621.0</v>
      </c>
      <c r="AT80" s="26">
        <v>734.0</v>
      </c>
      <c r="AU80" s="26">
        <v>77.0</v>
      </c>
      <c r="AV80" s="27">
        <v>0.8734177215189873</v>
      </c>
      <c r="AW80" s="26">
        <v>7.0</v>
      </c>
      <c r="AX80" s="26">
        <v>9.0</v>
      </c>
      <c r="AY80" s="26">
        <v>11.0</v>
      </c>
      <c r="AZ80" s="26">
        <v>13.0</v>
      </c>
      <c r="BA80" s="26">
        <v>8.0</v>
      </c>
      <c r="BB80" s="26">
        <v>8.0</v>
      </c>
      <c r="BC80" s="27">
        <v>0.16883116883116883</v>
      </c>
      <c r="BD80" s="26">
        <v>0.0</v>
      </c>
      <c r="BE80" s="26">
        <v>0.0</v>
      </c>
      <c r="BF80" s="26">
        <v>0.0</v>
      </c>
      <c r="BG80" s="26">
        <v>0.0</v>
      </c>
      <c r="BH80" s="26">
        <v>0.0</v>
      </c>
      <c r="BI80" s="26">
        <v>0.0</v>
      </c>
    </row>
    <row r="81" spans="1:61" ht="19.15" customHeight="1">
      <c r="A81" s="2"/>
      <c r="B81" s="8"/>
      <c r="C81" s="8" t="s">
        <v>177</v>
      </c>
      <c r="D81" s="15">
        <v>995.0</v>
      </c>
      <c r="E81" s="15">
        <v>2616.0</v>
      </c>
      <c r="F81" s="15">
        <v>3137.0</v>
      </c>
      <c r="G81" s="15">
        <v>2873.0</v>
      </c>
      <c r="H81" s="15">
        <v>2872.0</v>
      </c>
      <c r="I81" s="15">
        <v>0.0</v>
      </c>
      <c r="J81" s="15">
        <v>1.0</v>
      </c>
      <c r="K81" s="15">
        <v>264.0</v>
      </c>
      <c r="L81" s="15">
        <v>2348.0</v>
      </c>
      <c r="M81" s="16">
        <v>0.8339177558176601</v>
      </c>
      <c r="N81" s="16">
        <v>0.9155243863563914</v>
      </c>
      <c r="O81" s="16">
        <v>0.9158431622569334</v>
      </c>
      <c r="P81" s="16">
        <v>0.08415683774306662</v>
      </c>
      <c r="Q81" s="16">
        <v>0.7484858144724259</v>
      </c>
      <c r="R81" s="8">
        <v>6.0</v>
      </c>
      <c r="S81" s="8">
        <v>0.0</v>
      </c>
      <c r="T81" s="16">
        <f>IFERROR(S81/R81,"")</f>
        <v>0.0</v>
      </c>
      <c r="U81" s="8">
        <v>6.0</v>
      </c>
      <c r="V81" s="16">
        <v>1.0</v>
      </c>
      <c r="W81" s="16">
        <v>1.0</v>
      </c>
      <c r="X81" s="31">
        <v>5.0</v>
      </c>
      <c r="Y81" s="16">
        <v>0.8333333333333334</v>
      </c>
      <c r="Z81" s="16">
        <v>0.0</v>
      </c>
      <c r="AA81" s="8">
        <v>9.0</v>
      </c>
      <c r="AB81" s="16">
        <v>0.9166666666666666</v>
      </c>
      <c r="AC81" s="15">
        <v>0.0</v>
      </c>
      <c r="AD81" s="16">
        <f>IFERROR(AC81/AA81,"")</f>
        <v>0.0</v>
      </c>
      <c r="AE81" s="16">
        <v>1.0</v>
      </c>
      <c r="AF81" s="31">
        <v>4.0</v>
      </c>
      <c r="AG81" s="16">
        <v>0.4444444444444444</v>
      </c>
      <c r="AH81" s="8">
        <v>10.0</v>
      </c>
      <c r="AI81" s="8">
        <v>1.0</v>
      </c>
      <c r="AJ81" s="16">
        <f>IFERROR(AI81/AH81,"")</f>
        <v>0.1</v>
      </c>
      <c r="AK81" s="16">
        <v>0.8125</v>
      </c>
      <c r="AL81" s="16">
        <v>0.8</v>
      </c>
      <c r="AM81" s="16">
        <v>0.1</v>
      </c>
      <c r="AN81" s="8">
        <v>0.0</v>
      </c>
      <c r="AO81" s="22"/>
      <c r="AP81" s="28">
        <v>580.0</v>
      </c>
      <c r="AQ81" s="26">
        <v>3610.0</v>
      </c>
      <c r="AR81" s="26">
        <v>2850.0</v>
      </c>
      <c r="AS81" s="26">
        <v>2472.0</v>
      </c>
      <c r="AT81" s="26">
        <v>2962.0</v>
      </c>
      <c r="AU81" s="26">
        <v>259.0</v>
      </c>
      <c r="AV81" s="27">
        <v>0.8673684210526316</v>
      </c>
      <c r="AW81" s="26">
        <v>19.0</v>
      </c>
      <c r="AX81" s="26">
        <v>23.0</v>
      </c>
      <c r="AY81" s="26">
        <v>23.0</v>
      </c>
      <c r="AZ81" s="26">
        <v>30.0</v>
      </c>
      <c r="BA81" s="26">
        <v>19.0</v>
      </c>
      <c r="BB81" s="26">
        <v>19.0</v>
      </c>
      <c r="BC81" s="27">
        <v>0.11583011583011583</v>
      </c>
      <c r="BD81" s="26">
        <v>0.0</v>
      </c>
      <c r="BE81" s="26">
        <v>0.0</v>
      </c>
      <c r="BF81" s="26">
        <v>0.0</v>
      </c>
      <c r="BG81" s="26">
        <v>0.0</v>
      </c>
      <c r="BH81" s="26">
        <v>0.0</v>
      </c>
      <c r="BI81" s="26">
        <v>0.0</v>
      </c>
    </row>
    <row r="82" spans="1:61" ht="19.15" customHeight="1">
      <c r="A82" s="2"/>
      <c r="B82" s="8"/>
      <c r="C82" s="8" t="s">
        <v>178</v>
      </c>
      <c r="D82" s="15">
        <v>851.0</v>
      </c>
      <c r="E82" s="15">
        <v>2230.0</v>
      </c>
      <c r="F82" s="15">
        <v>2647.0</v>
      </c>
      <c r="G82" s="15">
        <v>2416.0</v>
      </c>
      <c r="H82" s="15">
        <v>2416.0</v>
      </c>
      <c r="I82" s="15">
        <v>0.0</v>
      </c>
      <c r="J82" s="15">
        <v>0.0</v>
      </c>
      <c r="K82" s="15">
        <v>231.0</v>
      </c>
      <c r="L82" s="15">
        <v>2045.0</v>
      </c>
      <c r="M82" s="16">
        <v>0.84246316584813</v>
      </c>
      <c r="N82" s="16">
        <v>0.9127313940309785</v>
      </c>
      <c r="O82" s="16">
        <v>0.9127313940309785</v>
      </c>
      <c r="P82" s="16">
        <v>0.08726860596902153</v>
      </c>
      <c r="Q82" s="16">
        <v>0.7725727238383076</v>
      </c>
      <c r="R82" s="8">
        <v>4.0</v>
      </c>
      <c r="S82" s="8">
        <v>0.0</v>
      </c>
      <c r="T82" s="16">
        <f>IFERROR(S82/R82,"")</f>
        <v>0.0</v>
      </c>
      <c r="U82" s="8">
        <v>4.0</v>
      </c>
      <c r="V82" s="16">
        <v>1.0</v>
      </c>
      <c r="W82" s="16">
        <v>1.0</v>
      </c>
      <c r="X82" s="31">
        <v>4.0</v>
      </c>
      <c r="Y82" s="16">
        <v>1.0</v>
      </c>
      <c r="Z82" s="16">
        <v>0.0</v>
      </c>
      <c r="AA82" s="8">
        <v>5.0</v>
      </c>
      <c r="AB82" s="16">
        <v>1.15</v>
      </c>
      <c r="AC82" s="15">
        <v>0.0</v>
      </c>
      <c r="AD82" s="16">
        <f>IFERROR(AC82/AA82,"")</f>
        <v>0.0</v>
      </c>
      <c r="AE82" s="16">
        <v>1.0</v>
      </c>
      <c r="AF82" s="31">
        <v>5.0</v>
      </c>
      <c r="AG82" s="16">
        <v>1.0</v>
      </c>
      <c r="AH82" s="8">
        <v>7.0</v>
      </c>
      <c r="AI82" s="8">
        <v>0.0</v>
      </c>
      <c r="AJ82" s="16">
        <f>IFERROR(AI82/AH82,"")</f>
        <v>0.0</v>
      </c>
      <c r="AK82" s="16">
        <v>1.0</v>
      </c>
      <c r="AL82" s="16">
        <v>0.8571428571428571</v>
      </c>
      <c r="AM82" s="16">
        <v>0.14285714285714285</v>
      </c>
      <c r="AN82" s="8">
        <v>0.0</v>
      </c>
      <c r="AO82" s="22"/>
      <c r="AP82" s="28">
        <v>502.0</v>
      </c>
      <c r="AQ82" s="26">
        <v>3087.0</v>
      </c>
      <c r="AR82" s="26">
        <v>2398.0</v>
      </c>
      <c r="AS82" s="26">
        <v>2055.0</v>
      </c>
      <c r="AT82" s="26">
        <v>2502.0</v>
      </c>
      <c r="AU82" s="26">
        <v>228.0</v>
      </c>
      <c r="AV82" s="27">
        <v>0.8569641367806505</v>
      </c>
      <c r="AW82" s="26">
        <v>20.0</v>
      </c>
      <c r="AX82" s="26">
        <v>20.0</v>
      </c>
      <c r="AY82" s="26">
        <v>20.0</v>
      </c>
      <c r="AZ82" s="26">
        <v>20.0</v>
      </c>
      <c r="BA82" s="26">
        <v>16.0</v>
      </c>
      <c r="BB82" s="26">
        <v>14.0</v>
      </c>
      <c r="BC82" s="27">
        <v>0.08771929824561403</v>
      </c>
      <c r="BD82" s="26">
        <v>0.0</v>
      </c>
      <c r="BE82" s="26">
        <v>0.0</v>
      </c>
      <c r="BF82" s="26">
        <v>0.0</v>
      </c>
      <c r="BG82" s="26">
        <v>0.0</v>
      </c>
      <c r="BH82" s="26">
        <v>0.0</v>
      </c>
      <c r="BI82" s="26">
        <v>0.0</v>
      </c>
    </row>
    <row r="83" spans="1:61" ht="19.15" customHeight="1">
      <c r="A83" s="2"/>
      <c r="B83" s="8"/>
      <c r="C83" s="8" t="s">
        <v>179</v>
      </c>
      <c r="D83" s="15">
        <v>470.0</v>
      </c>
      <c r="E83" s="15">
        <v>1276.0</v>
      </c>
      <c r="F83" s="15">
        <v>1516.0</v>
      </c>
      <c r="G83" s="15">
        <v>1377.0</v>
      </c>
      <c r="H83" s="15">
        <v>1377.0</v>
      </c>
      <c r="I83" s="15">
        <v>0.0</v>
      </c>
      <c r="J83" s="15">
        <v>0.0</v>
      </c>
      <c r="K83" s="15">
        <v>139.0</v>
      </c>
      <c r="L83" s="15">
        <v>1145.0</v>
      </c>
      <c r="M83" s="16">
        <v>0.841688654353562</v>
      </c>
      <c r="N83" s="16">
        <v>0.908311345646438</v>
      </c>
      <c r="O83" s="16">
        <v>0.908311345646438</v>
      </c>
      <c r="P83" s="16">
        <v>0.09168865435356201</v>
      </c>
      <c r="Q83" s="16">
        <v>0.7552770448548812</v>
      </c>
      <c r="R83" s="8">
        <v>3.0</v>
      </c>
      <c r="S83" s="8">
        <v>0.0</v>
      </c>
      <c r="T83" s="16">
        <f>IFERROR(S83/R83,"")</f>
        <v>0.0</v>
      </c>
      <c r="U83" s="8">
        <v>3.0</v>
      </c>
      <c r="V83" s="16">
        <v>0.6666666666666666</v>
      </c>
      <c r="W83" s="16">
        <v>1.0</v>
      </c>
      <c r="X83" s="31">
        <v>2.0</v>
      </c>
      <c r="Y83" s="16">
        <v>0.6666666666666666</v>
      </c>
      <c r="Z83" s="16">
        <v>0.0</v>
      </c>
      <c r="AA83" s="8">
        <v>6.0</v>
      </c>
      <c r="AB83" s="16">
        <v>1.125</v>
      </c>
      <c r="AC83" s="15">
        <v>0.0</v>
      </c>
      <c r="AD83" s="16">
        <f>IFERROR(AC83/AA83,"")</f>
        <v>0.0</v>
      </c>
      <c r="AE83" s="16">
        <v>1.0</v>
      </c>
      <c r="AF83" s="31">
        <v>5.0</v>
      </c>
      <c r="AG83" s="16">
        <v>0.8333333333333334</v>
      </c>
      <c r="AH83" s="8">
        <v>8.0</v>
      </c>
      <c r="AI83" s="8">
        <v>0.0</v>
      </c>
      <c r="AJ83" s="16">
        <f>IFERROR(AI83/AH83,"")</f>
        <v>0.0</v>
      </c>
      <c r="AK83" s="16">
        <v>0.921875</v>
      </c>
      <c r="AL83" s="16">
        <v>0.875</v>
      </c>
      <c r="AM83" s="16">
        <v>0.25</v>
      </c>
      <c r="AN83" s="8">
        <v>0.0</v>
      </c>
      <c r="AO83" s="22"/>
      <c r="AP83" s="28">
        <v>287.0</v>
      </c>
      <c r="AQ83" s="26">
        <v>1795.0</v>
      </c>
      <c r="AR83" s="26">
        <v>1374.0</v>
      </c>
      <c r="AS83" s="26">
        <v>1196.0</v>
      </c>
      <c r="AT83" s="26">
        <v>1405.0</v>
      </c>
      <c r="AU83" s="26">
        <v>136.0</v>
      </c>
      <c r="AV83" s="27">
        <v>0.8704512372634643</v>
      </c>
      <c r="AW83" s="26">
        <v>6.0</v>
      </c>
      <c r="AX83" s="26">
        <v>6.0</v>
      </c>
      <c r="AY83" s="26">
        <v>7.0</v>
      </c>
      <c r="AZ83" s="26">
        <v>8.0</v>
      </c>
      <c r="BA83" s="26">
        <v>6.0</v>
      </c>
      <c r="BB83" s="26">
        <v>6.0</v>
      </c>
      <c r="BC83" s="27">
        <v>0.058823529411764705</v>
      </c>
      <c r="BD83" s="26">
        <v>0.0</v>
      </c>
      <c r="BE83" s="26">
        <v>0.0</v>
      </c>
      <c r="BF83" s="26">
        <v>0.0</v>
      </c>
      <c r="BG83" s="26">
        <v>0.0</v>
      </c>
      <c r="BH83" s="26">
        <v>0.0</v>
      </c>
      <c r="BI83" s="26">
        <v>0.0</v>
      </c>
    </row>
    <row r="84" spans="1:61" ht="19.15" customHeight="1">
      <c r="A84" s="2"/>
      <c r="B84" s="8"/>
      <c r="C84" s="8" t="s">
        <v>180</v>
      </c>
      <c r="D84" s="15">
        <v>686.0</v>
      </c>
      <c r="E84" s="15">
        <v>1870.0</v>
      </c>
      <c r="F84" s="15">
        <v>2154.0</v>
      </c>
      <c r="G84" s="15">
        <v>1982.0</v>
      </c>
      <c r="H84" s="15">
        <v>1982.0</v>
      </c>
      <c r="I84" s="15">
        <v>0.0</v>
      </c>
      <c r="J84" s="15">
        <v>0.0</v>
      </c>
      <c r="K84" s="15">
        <v>172.0</v>
      </c>
      <c r="L84" s="15">
        <v>1723.0</v>
      </c>
      <c r="M84" s="16">
        <v>0.8681522748375116</v>
      </c>
      <c r="N84" s="16">
        <v>0.9201485608170845</v>
      </c>
      <c r="O84" s="16">
        <v>0.9201485608170845</v>
      </c>
      <c r="P84" s="16">
        <v>0.07985143918291551</v>
      </c>
      <c r="Q84" s="16">
        <v>0.7999071494893222</v>
      </c>
      <c r="R84" s="8">
        <v>8.0</v>
      </c>
      <c r="S84" s="8">
        <v>0.0</v>
      </c>
      <c r="T84" s="16">
        <f>IFERROR(S84/R84,"")</f>
        <v>0.0</v>
      </c>
      <c r="U84" s="8">
        <v>8.0</v>
      </c>
      <c r="V84" s="16">
        <v>1.0</v>
      </c>
      <c r="W84" s="16">
        <v>1.0</v>
      </c>
      <c r="X84" s="31">
        <v>8.0</v>
      </c>
      <c r="Y84" s="16">
        <v>1.0</v>
      </c>
      <c r="Z84" s="16">
        <v>0.0</v>
      </c>
      <c r="AA84" s="8">
        <v>8.0</v>
      </c>
      <c r="AB84" s="16">
        <v>1.0625</v>
      </c>
      <c r="AC84" s="15">
        <v>0.0</v>
      </c>
      <c r="AD84" s="16">
        <f>IFERROR(AC84/AA84,"")</f>
        <v>0.0</v>
      </c>
      <c r="AE84" s="16">
        <v>0.625</v>
      </c>
      <c r="AF84" s="31">
        <v>5.0</v>
      </c>
      <c r="AG84" s="16">
        <v>0.625</v>
      </c>
      <c r="AH84" s="8">
        <v>8.0</v>
      </c>
      <c r="AI84" s="8">
        <v>0.0</v>
      </c>
      <c r="AJ84" s="16">
        <f>IFERROR(AI84/AH84,"")</f>
        <v>0.0</v>
      </c>
      <c r="AK84" s="16">
        <v>0.984375</v>
      </c>
      <c r="AL84" s="16">
        <v>0.75</v>
      </c>
      <c r="AM84" s="16">
        <v>0.25</v>
      </c>
      <c r="AN84" s="8">
        <v>0.0</v>
      </c>
      <c r="AO84" s="22"/>
      <c r="AP84" s="28">
        <v>401.0</v>
      </c>
      <c r="AQ84" s="26">
        <v>2482.0</v>
      </c>
      <c r="AR84" s="26">
        <v>1957.0</v>
      </c>
      <c r="AS84" s="26">
        <v>1681.0</v>
      </c>
      <c r="AT84" s="26">
        <v>2021.0</v>
      </c>
      <c r="AU84" s="26">
        <v>172.0</v>
      </c>
      <c r="AV84" s="27">
        <v>0.8589678078691876</v>
      </c>
      <c r="AW84" s="26">
        <v>7.0</v>
      </c>
      <c r="AX84" s="26">
        <v>8.0</v>
      </c>
      <c r="AY84" s="26">
        <v>26.0</v>
      </c>
      <c r="AZ84" s="26">
        <v>30.0</v>
      </c>
      <c r="BA84" s="26">
        <v>26.0</v>
      </c>
      <c r="BB84" s="26">
        <v>26.0</v>
      </c>
      <c r="BC84" s="27">
        <v>0.1744186046511628</v>
      </c>
      <c r="BD84" s="26">
        <v>0.0</v>
      </c>
      <c r="BE84" s="26">
        <v>0.0</v>
      </c>
      <c r="BF84" s="26">
        <v>0.0</v>
      </c>
      <c r="BG84" s="26">
        <v>0.0</v>
      </c>
      <c r="BH84" s="26">
        <v>0.0</v>
      </c>
      <c r="BI84" s="26">
        <v>0.0</v>
      </c>
    </row>
    <row r="85" spans="1:61" ht="19.15" customHeight="1">
      <c r="A85" s="2"/>
      <c r="B85" s="8"/>
      <c r="C85" s="8" t="s">
        <v>181</v>
      </c>
      <c r="D85" s="15">
        <v>593.0</v>
      </c>
      <c r="E85" s="15">
        <v>1502.0</v>
      </c>
      <c r="F85" s="15">
        <v>1810.0</v>
      </c>
      <c r="G85" s="15">
        <v>1652.0</v>
      </c>
      <c r="H85" s="15">
        <v>1652.0</v>
      </c>
      <c r="I85" s="15">
        <v>0.0</v>
      </c>
      <c r="J85" s="15">
        <v>0.0</v>
      </c>
      <c r="K85" s="15">
        <v>158.0</v>
      </c>
      <c r="L85" s="15">
        <v>1386.0</v>
      </c>
      <c r="M85" s="16">
        <v>0.8298342541436464</v>
      </c>
      <c r="N85" s="16">
        <v>0.912707182320442</v>
      </c>
      <c r="O85" s="16">
        <v>0.912707182320442</v>
      </c>
      <c r="P85" s="16">
        <v>0.08729281767955802</v>
      </c>
      <c r="Q85" s="16">
        <v>0.7657458563535912</v>
      </c>
      <c r="R85" s="8">
        <v>4.0</v>
      </c>
      <c r="S85" s="8">
        <v>0.0</v>
      </c>
      <c r="T85" s="16">
        <f>IFERROR(S85/R85,"")</f>
        <v>0.0</v>
      </c>
      <c r="U85" s="8">
        <v>4.0</v>
      </c>
      <c r="V85" s="16">
        <v>1.0</v>
      </c>
      <c r="W85" s="16">
        <v>1.0</v>
      </c>
      <c r="X85" s="31">
        <v>3.0</v>
      </c>
      <c r="Y85" s="16">
        <v>0.75</v>
      </c>
      <c r="Z85" s="16">
        <v>0.0</v>
      </c>
      <c r="AA85" s="8">
        <v>6.0</v>
      </c>
      <c r="AB85" s="16">
        <v>1.125</v>
      </c>
      <c r="AC85" s="15">
        <v>0.0</v>
      </c>
      <c r="AD85" s="16">
        <f>IFERROR(AC85/AA85,"")</f>
        <v>0.0</v>
      </c>
      <c r="AE85" s="16">
        <v>0.8333333333333334</v>
      </c>
      <c r="AF85" s="31">
        <v>5.0</v>
      </c>
      <c r="AG85" s="16">
        <v>0.8333333333333334</v>
      </c>
      <c r="AH85" s="8">
        <v>4.0</v>
      </c>
      <c r="AI85" s="8">
        <v>0.0</v>
      </c>
      <c r="AJ85" s="16">
        <f>IFERROR(AI85/AH85,"")</f>
        <v>0.0</v>
      </c>
      <c r="AK85" s="16">
        <v>0.96875</v>
      </c>
      <c r="AL85" s="16">
        <v>0.75</v>
      </c>
      <c r="AM85" s="16">
        <v>0.0</v>
      </c>
      <c r="AN85" s="8">
        <v>0.0</v>
      </c>
      <c r="AO85" s="22"/>
      <c r="AP85" s="28">
        <v>345.0</v>
      </c>
      <c r="AQ85" s="26">
        <v>2112.0</v>
      </c>
      <c r="AR85" s="26">
        <v>1635.0</v>
      </c>
      <c r="AS85" s="26">
        <v>1390.0</v>
      </c>
      <c r="AT85" s="26">
        <v>1682.0</v>
      </c>
      <c r="AU85" s="26">
        <v>153.0</v>
      </c>
      <c r="AV85" s="27">
        <v>0.8501529051987767</v>
      </c>
      <c r="AW85" s="26">
        <v>17.0</v>
      </c>
      <c r="AX85" s="26">
        <v>18.0</v>
      </c>
      <c r="AY85" s="26">
        <v>22.0</v>
      </c>
      <c r="AZ85" s="26">
        <v>28.0</v>
      </c>
      <c r="BA85" s="26">
        <v>19.0</v>
      </c>
      <c r="BB85" s="26">
        <v>19.0</v>
      </c>
      <c r="BC85" s="27">
        <v>0.1830065359477124</v>
      </c>
      <c r="BD85" s="26">
        <v>0.0</v>
      </c>
      <c r="BE85" s="26">
        <v>0.0</v>
      </c>
      <c r="BF85" s="26">
        <v>0.0</v>
      </c>
      <c r="BG85" s="26">
        <v>0.0</v>
      </c>
      <c r="BH85" s="26">
        <v>0.0</v>
      </c>
      <c r="BI85" s="26">
        <v>0.0</v>
      </c>
    </row>
    <row r="86" spans="1:61" ht="19.15" customHeight="1">
      <c r="A86" s="2"/>
      <c r="B86" s="8"/>
      <c r="C86" s="8" t="s">
        <v>182</v>
      </c>
      <c r="D86" s="15">
        <v>606.0</v>
      </c>
      <c r="E86" s="15">
        <v>1489.0</v>
      </c>
      <c r="F86" s="15">
        <v>1869.0</v>
      </c>
      <c r="G86" s="15">
        <v>1708.0</v>
      </c>
      <c r="H86" s="15">
        <v>1708.0</v>
      </c>
      <c r="I86" s="15">
        <v>0.0</v>
      </c>
      <c r="J86" s="15">
        <v>0.0</v>
      </c>
      <c r="K86" s="15">
        <v>161.0</v>
      </c>
      <c r="L86" s="15">
        <v>1398.0</v>
      </c>
      <c r="M86" s="16">
        <v>0.7966827180310326</v>
      </c>
      <c r="N86" s="16">
        <v>0.9138576779026217</v>
      </c>
      <c r="O86" s="16">
        <v>0.9138576779026217</v>
      </c>
      <c r="P86" s="16">
        <v>0.08614232209737828</v>
      </c>
      <c r="Q86" s="16">
        <v>0.7479935794542536</v>
      </c>
      <c r="R86" s="8">
        <v>5.0</v>
      </c>
      <c r="S86" s="8">
        <v>0.0</v>
      </c>
      <c r="T86" s="16">
        <f>IFERROR(S86/R86,"")</f>
        <v>0.0</v>
      </c>
      <c r="U86" s="8">
        <v>5.0</v>
      </c>
      <c r="V86" s="16">
        <v>0.6</v>
      </c>
      <c r="W86" s="16">
        <v>0.8</v>
      </c>
      <c r="X86" s="31">
        <v>4.0</v>
      </c>
      <c r="Y86" s="16">
        <v>0.8</v>
      </c>
      <c r="Z86" s="16">
        <v>0.0</v>
      </c>
      <c r="AA86" s="8">
        <v>8.0</v>
      </c>
      <c r="AB86" s="16">
        <v>0.96875</v>
      </c>
      <c r="AC86" s="15">
        <v>0.0</v>
      </c>
      <c r="AD86" s="16">
        <f>IFERROR(AC86/AA86,"")</f>
        <v>0.0</v>
      </c>
      <c r="AE86" s="16">
        <v>1.0</v>
      </c>
      <c r="AF86" s="31">
        <v>7.0</v>
      </c>
      <c r="AG86" s="16">
        <v>0.875</v>
      </c>
      <c r="AH86" s="8">
        <v>9.0</v>
      </c>
      <c r="AI86" s="8">
        <v>1.0</v>
      </c>
      <c r="AJ86" s="16">
        <f>IFERROR(AI86/AH86,"")</f>
        <v>0.1111111111111111</v>
      </c>
      <c r="AK86" s="16">
        <v>1.0</v>
      </c>
      <c r="AL86" s="16">
        <v>0.8888888888888888</v>
      </c>
      <c r="AM86" s="16">
        <v>0.1111111111111111</v>
      </c>
      <c r="AN86" s="8">
        <v>0.0</v>
      </c>
      <c r="AO86" s="22"/>
      <c r="AP86" s="28">
        <v>353.0</v>
      </c>
      <c r="AQ86" s="26">
        <v>2180.0</v>
      </c>
      <c r="AR86" s="26">
        <v>1696.0</v>
      </c>
      <c r="AS86" s="26">
        <v>1465.0</v>
      </c>
      <c r="AT86" s="26">
        <v>1741.0</v>
      </c>
      <c r="AU86" s="26">
        <v>159.0</v>
      </c>
      <c r="AV86" s="27">
        <v>0.8637971698113207</v>
      </c>
      <c r="AW86" s="26">
        <v>13.0</v>
      </c>
      <c r="AX86" s="26">
        <v>13.0</v>
      </c>
      <c r="AY86" s="26">
        <v>12.0</v>
      </c>
      <c r="AZ86" s="26">
        <v>19.0</v>
      </c>
      <c r="BA86" s="26">
        <v>15.0</v>
      </c>
      <c r="BB86" s="26">
        <v>15.0</v>
      </c>
      <c r="BC86" s="27">
        <v>0.11949685534591195</v>
      </c>
      <c r="BD86" s="26">
        <v>0.0</v>
      </c>
      <c r="BE86" s="26">
        <v>0.0</v>
      </c>
      <c r="BF86" s="26">
        <v>0.0</v>
      </c>
      <c r="BG86" s="26">
        <v>0.0</v>
      </c>
      <c r="BH86" s="26">
        <v>0.0</v>
      </c>
      <c r="BI86" s="26">
        <v>0.0</v>
      </c>
    </row>
    <row r="87" spans="1:61" ht="19.15" customHeight="1">
      <c r="A87" s="2"/>
      <c r="B87" s="8"/>
      <c r="C87" s="8" t="s">
        <v>183</v>
      </c>
      <c r="D87" s="15">
        <v>368.0</v>
      </c>
      <c r="E87" s="15">
        <v>886.0</v>
      </c>
      <c r="F87" s="15">
        <v>1132.0</v>
      </c>
      <c r="G87" s="15">
        <v>1015.0</v>
      </c>
      <c r="H87" s="15">
        <v>1015.0</v>
      </c>
      <c r="I87" s="15">
        <v>0.0</v>
      </c>
      <c r="J87" s="15">
        <v>0.0</v>
      </c>
      <c r="K87" s="15">
        <v>117.0</v>
      </c>
      <c r="L87" s="15">
        <v>776.0</v>
      </c>
      <c r="M87" s="16">
        <v>0.7826855123674912</v>
      </c>
      <c r="N87" s="16">
        <v>0.8966431095406361</v>
      </c>
      <c r="O87" s="16">
        <v>0.8966431095406361</v>
      </c>
      <c r="P87" s="16">
        <v>0.10335689045936396</v>
      </c>
      <c r="Q87" s="16">
        <v>0.6855123674911661</v>
      </c>
      <c r="R87" s="8">
        <v>6.0</v>
      </c>
      <c r="S87" s="8">
        <v>0.0</v>
      </c>
      <c r="T87" s="16">
        <f>IFERROR(S87/R87,"")</f>
        <v>0.0</v>
      </c>
      <c r="U87" s="8">
        <v>6.0</v>
      </c>
      <c r="V87" s="16">
        <v>1.0</v>
      </c>
      <c r="W87" s="16">
        <v>1.0</v>
      </c>
      <c r="X87" s="31">
        <v>4.0</v>
      </c>
      <c r="Y87" s="16">
        <v>0.6666666666666666</v>
      </c>
      <c r="Z87" s="16">
        <v>0.0</v>
      </c>
      <c r="AA87" s="8">
        <v>7.0</v>
      </c>
      <c r="AB87" s="16">
        <v>0.75</v>
      </c>
      <c r="AC87" s="15">
        <v>0.0</v>
      </c>
      <c r="AD87" s="16">
        <f>IFERROR(AC87/AA87,"")</f>
        <v>0.0</v>
      </c>
      <c r="AE87" s="16">
        <v>0.8571428571428571</v>
      </c>
      <c r="AF87" s="31">
        <v>6.0</v>
      </c>
      <c r="AG87" s="16">
        <v>0.8571428571428571</v>
      </c>
      <c r="AH87" s="8">
        <v>4.0</v>
      </c>
      <c r="AI87" s="8">
        <v>0.0</v>
      </c>
      <c r="AJ87" s="16">
        <f>IFERROR(AI87/AH87,"")</f>
        <v>0.0</v>
      </c>
      <c r="AK87" s="16">
        <v>0.8125</v>
      </c>
      <c r="AL87" s="16">
        <v>0.75</v>
      </c>
      <c r="AM87" s="16">
        <v>0.25</v>
      </c>
      <c r="AN87" s="8">
        <v>0.0</v>
      </c>
      <c r="AO87" s="22"/>
      <c r="AP87" s="28">
        <v>215.0</v>
      </c>
      <c r="AQ87" s="26">
        <v>1328.0</v>
      </c>
      <c r="AR87" s="26">
        <v>1013.0</v>
      </c>
      <c r="AS87" s="26">
        <v>856.0</v>
      </c>
      <c r="AT87" s="26">
        <v>1055.0</v>
      </c>
      <c r="AU87" s="26">
        <v>115.0</v>
      </c>
      <c r="AV87" s="27">
        <v>0.8450148075024679</v>
      </c>
      <c r="AW87" s="26">
        <v>9.0</v>
      </c>
      <c r="AX87" s="26">
        <v>10.0</v>
      </c>
      <c r="AY87" s="26">
        <v>7.0</v>
      </c>
      <c r="AZ87" s="26">
        <v>8.0</v>
      </c>
      <c r="BA87" s="26">
        <v>6.0</v>
      </c>
      <c r="BB87" s="26">
        <v>6.0</v>
      </c>
      <c r="BC87" s="27">
        <v>0.06956521739130435</v>
      </c>
      <c r="BD87" s="26">
        <v>0.0</v>
      </c>
      <c r="BE87" s="26">
        <v>0.0</v>
      </c>
      <c r="BF87" s="26">
        <v>0.0</v>
      </c>
      <c r="BG87" s="26">
        <v>0.0</v>
      </c>
      <c r="BH87" s="26">
        <v>0.0</v>
      </c>
      <c r="BI87" s="26">
        <v>0.0</v>
      </c>
    </row>
    <row r="88" spans="1:61" ht="19.15" customHeight="1">
      <c r="A88" s="2"/>
      <c r="B88" s="8" t="s">
        <v>111</v>
      </c>
      <c r="C88" s="8" t="s">
        <v>184</v>
      </c>
      <c r="D88" s="15">
        <v>234.0</v>
      </c>
      <c r="E88" s="15">
        <v>649.0</v>
      </c>
      <c r="F88" s="15">
        <v>787.0</v>
      </c>
      <c r="G88" s="15">
        <v>700.0</v>
      </c>
      <c r="H88" s="15">
        <v>700.0</v>
      </c>
      <c r="I88" s="15">
        <v>0.0</v>
      </c>
      <c r="J88" s="15">
        <v>0.0</v>
      </c>
      <c r="K88" s="15">
        <v>87.0</v>
      </c>
      <c r="L88" s="15">
        <v>595.0</v>
      </c>
      <c r="M88" s="16">
        <v>0.8246505717916137</v>
      </c>
      <c r="N88" s="16">
        <v>0.8894536213468869</v>
      </c>
      <c r="O88" s="16">
        <v>0.8894536213468869</v>
      </c>
      <c r="P88" s="16">
        <v>0.11054637865311309</v>
      </c>
      <c r="Q88" s="16">
        <v>0.7560355781448539</v>
      </c>
      <c r="R88" s="8">
        <v>0.0</v>
      </c>
      <c r="S88" s="8"/>
      <c r="T88" s="16" t="str">
        <f>IFERROR(S88/R88,"")</f>
        <v/>
      </c>
      <c r="U88" s="8">
        <v>0.0</v>
      </c>
      <c r="V88" s="16"/>
      <c r="W88" s="16"/>
      <c r="X88" s="31"/>
      <c r="Y88" s="16"/>
      <c r="Z88" s="16"/>
      <c r="AA88" s="8">
        <v>0.0</v>
      </c>
      <c r="AB88" s="16"/>
      <c r="AC88" s="15"/>
      <c r="AD88" s="16" t="str">
        <f>IFERROR(AC88/AA88,"")</f>
        <v/>
      </c>
      <c r="AE88" s="16"/>
      <c r="AF88" s="31"/>
      <c r="AG88" s="16"/>
      <c r="AH88" s="8">
        <v>2.0</v>
      </c>
      <c r="AI88" s="8">
        <v>0.0</v>
      </c>
      <c r="AJ88" s="16">
        <f>IFERROR(AI88/AH88,"")</f>
        <v>0.0</v>
      </c>
      <c r="AK88" s="16">
        <v>1.0</v>
      </c>
      <c r="AL88" s="16">
        <v>1.0</v>
      </c>
      <c r="AM88" s="16">
        <v>0.0</v>
      </c>
      <c r="AN88" s="8">
        <v>0.0</v>
      </c>
      <c r="AO88" s="22"/>
      <c r="AP88" s="28">
        <v>142.0</v>
      </c>
      <c r="AQ88" s="26">
        <v>899.0</v>
      </c>
      <c r="AR88" s="26">
        <v>696.0</v>
      </c>
      <c r="AS88" s="26">
        <v>584.0</v>
      </c>
      <c r="AT88" s="26">
        <v>728.0</v>
      </c>
      <c r="AU88" s="26">
        <v>85.0</v>
      </c>
      <c r="AV88" s="27">
        <v>0.8390804597701149</v>
      </c>
      <c r="AW88" s="26">
        <v>4.0</v>
      </c>
      <c r="AX88" s="26">
        <v>5.0</v>
      </c>
      <c r="AY88" s="26">
        <v>7.0</v>
      </c>
      <c r="AZ88" s="26">
        <v>8.0</v>
      </c>
      <c r="BA88" s="26">
        <v>6.0</v>
      </c>
      <c r="BB88" s="26">
        <v>6.0</v>
      </c>
      <c r="BC88" s="27">
        <v>0.09411764705882353</v>
      </c>
      <c r="BD88" s="26">
        <v>0.0</v>
      </c>
      <c r="BE88" s="26">
        <v>0.0</v>
      </c>
      <c r="BF88" s="26">
        <v>0.0</v>
      </c>
      <c r="BG88" s="26">
        <v>0.0</v>
      </c>
      <c r="BH88" s="26">
        <v>0.0</v>
      </c>
      <c r="BI88" s="26">
        <v>0.0</v>
      </c>
    </row>
    <row r="89" spans="1:61" ht="19.15" customHeight="1">
      <c r="A89" s="2"/>
      <c r="B89" s="8"/>
      <c r="C89" s="8" t="s">
        <v>185</v>
      </c>
      <c r="D89" s="15">
        <v>670.0</v>
      </c>
      <c r="E89" s="15">
        <v>1810.0</v>
      </c>
      <c r="F89" s="15">
        <v>2094.0</v>
      </c>
      <c r="G89" s="15">
        <v>1899.0</v>
      </c>
      <c r="H89" s="15">
        <v>1899.0</v>
      </c>
      <c r="I89" s="15">
        <v>0.0</v>
      </c>
      <c r="J89" s="15">
        <v>0.0</v>
      </c>
      <c r="K89" s="15">
        <v>195.0</v>
      </c>
      <c r="L89" s="15">
        <v>1619.0</v>
      </c>
      <c r="M89" s="16">
        <v>0.8643744030563515</v>
      </c>
      <c r="N89" s="16">
        <v>0.9068767908309455</v>
      </c>
      <c r="O89" s="16">
        <v>0.9068767908309455</v>
      </c>
      <c r="P89" s="16">
        <v>0.09312320916905444</v>
      </c>
      <c r="Q89" s="16">
        <v>0.7731614135625597</v>
      </c>
      <c r="R89" s="8">
        <v>5.0</v>
      </c>
      <c r="S89" s="8">
        <v>0.0</v>
      </c>
      <c r="T89" s="16">
        <f>IFERROR(S89/R89,"")</f>
        <v>0.0</v>
      </c>
      <c r="U89" s="8">
        <v>5.0</v>
      </c>
      <c r="V89" s="16">
        <v>1.0</v>
      </c>
      <c r="W89" s="16">
        <v>1.0</v>
      </c>
      <c r="X89" s="31">
        <v>5.0</v>
      </c>
      <c r="Y89" s="16">
        <v>1.0</v>
      </c>
      <c r="Z89" s="16">
        <v>0.0</v>
      </c>
      <c r="AA89" s="8">
        <v>5.0</v>
      </c>
      <c r="AB89" s="16">
        <v>1.15</v>
      </c>
      <c r="AC89" s="15">
        <v>0.0</v>
      </c>
      <c r="AD89" s="16">
        <f>IFERROR(AC89/AA89,"")</f>
        <v>0.0</v>
      </c>
      <c r="AE89" s="16">
        <v>0.8</v>
      </c>
      <c r="AF89" s="31">
        <v>2.0</v>
      </c>
      <c r="AG89" s="16">
        <v>0.4</v>
      </c>
      <c r="AH89" s="8">
        <v>6.0</v>
      </c>
      <c r="AI89" s="8">
        <v>0.0</v>
      </c>
      <c r="AJ89" s="16">
        <f>IFERROR(AI89/AH89,"")</f>
        <v>0.0</v>
      </c>
      <c r="AK89" s="16">
        <v>0.9166666666666666</v>
      </c>
      <c r="AL89" s="16">
        <v>1.0</v>
      </c>
      <c r="AM89" s="16">
        <v>0.6666666666666666</v>
      </c>
      <c r="AN89" s="8">
        <v>0.0</v>
      </c>
      <c r="AO89" s="22"/>
      <c r="AP89" s="28">
        <v>398.0</v>
      </c>
      <c r="AQ89" s="26">
        <v>2441.0</v>
      </c>
      <c r="AR89" s="26">
        <v>1878.0</v>
      </c>
      <c r="AS89" s="26">
        <v>1585.0</v>
      </c>
      <c r="AT89" s="26">
        <v>1932.0</v>
      </c>
      <c r="AU89" s="26">
        <v>193.0</v>
      </c>
      <c r="AV89" s="27">
        <v>0.8439829605963791</v>
      </c>
      <c r="AW89" s="26">
        <v>16.0</v>
      </c>
      <c r="AX89" s="26">
        <v>22.0</v>
      </c>
      <c r="AY89" s="26">
        <v>22.0</v>
      </c>
      <c r="AZ89" s="26">
        <v>27.0</v>
      </c>
      <c r="BA89" s="26">
        <v>23.0</v>
      </c>
      <c r="BB89" s="26">
        <v>23.0</v>
      </c>
      <c r="BC89" s="27">
        <v>0.13989637305699482</v>
      </c>
      <c r="BD89" s="26">
        <v>0.0</v>
      </c>
      <c r="BE89" s="26">
        <v>0.0</v>
      </c>
      <c r="BF89" s="26">
        <v>0.0</v>
      </c>
      <c r="BG89" s="26">
        <v>0.0</v>
      </c>
      <c r="BH89" s="26">
        <v>0.0</v>
      </c>
      <c r="BI89" s="26">
        <v>0.0</v>
      </c>
    </row>
    <row r="90" spans="1:61" ht="19.15" customHeight="1">
      <c r="A90" s="2"/>
      <c r="B90" s="8"/>
      <c r="C90" s="8" t="s">
        <v>186</v>
      </c>
      <c r="D90" s="15">
        <v>579.0</v>
      </c>
      <c r="E90" s="15">
        <v>1450.0</v>
      </c>
      <c r="F90" s="15">
        <v>1755.0</v>
      </c>
      <c r="G90" s="15">
        <v>1602.0</v>
      </c>
      <c r="H90" s="15">
        <v>1602.0</v>
      </c>
      <c r="I90" s="15">
        <v>0.0</v>
      </c>
      <c r="J90" s="15">
        <v>0.0</v>
      </c>
      <c r="K90" s="15">
        <v>153.0</v>
      </c>
      <c r="L90" s="15">
        <v>1349.0</v>
      </c>
      <c r="M90" s="16">
        <v>0.8262108262108262</v>
      </c>
      <c r="N90" s="16">
        <v>0.9128205128205128</v>
      </c>
      <c r="O90" s="16">
        <v>0.9128205128205128</v>
      </c>
      <c r="P90" s="16">
        <v>0.08717948717948718</v>
      </c>
      <c r="Q90" s="16">
        <v>0.7686609686609687</v>
      </c>
      <c r="R90" s="8">
        <v>4.0</v>
      </c>
      <c r="S90" s="8">
        <v>0.0</v>
      </c>
      <c r="T90" s="16">
        <f>IFERROR(S90/R90,"")</f>
        <v>0.0</v>
      </c>
      <c r="U90" s="8">
        <v>4.0</v>
      </c>
      <c r="V90" s="16">
        <v>0.75</v>
      </c>
      <c r="W90" s="16">
        <v>1.0</v>
      </c>
      <c r="X90" s="31">
        <v>3.0</v>
      </c>
      <c r="Y90" s="16">
        <v>0.75</v>
      </c>
      <c r="Z90" s="16">
        <v>0.0</v>
      </c>
      <c r="AA90" s="8">
        <v>4.0</v>
      </c>
      <c r="AB90" s="16">
        <v>1.1875</v>
      </c>
      <c r="AC90" s="15">
        <v>0.0</v>
      </c>
      <c r="AD90" s="16">
        <f>IFERROR(AC90/AA90,"")</f>
        <v>0.0</v>
      </c>
      <c r="AE90" s="16">
        <v>0.75</v>
      </c>
      <c r="AF90" s="31">
        <v>2.0</v>
      </c>
      <c r="AG90" s="16">
        <v>0.5</v>
      </c>
      <c r="AH90" s="8">
        <v>3.0</v>
      </c>
      <c r="AI90" s="8">
        <v>0.0</v>
      </c>
      <c r="AJ90" s="16">
        <f>IFERROR(AI90/AH90,"")</f>
        <v>0.0</v>
      </c>
      <c r="AK90" s="16">
        <v>0.9583333333333334</v>
      </c>
      <c r="AL90" s="16">
        <v>0.3333333333333333</v>
      </c>
      <c r="AM90" s="16">
        <v>0.0</v>
      </c>
      <c r="AN90" s="8">
        <v>0.0</v>
      </c>
      <c r="AO90" s="22"/>
      <c r="AP90" s="28">
        <v>338.0</v>
      </c>
      <c r="AQ90" s="26">
        <v>2065.0</v>
      </c>
      <c r="AR90" s="26">
        <v>1593.0</v>
      </c>
      <c r="AS90" s="26">
        <v>1373.0</v>
      </c>
      <c r="AT90" s="26">
        <v>1630.0</v>
      </c>
      <c r="AU90" s="26">
        <v>152.0</v>
      </c>
      <c r="AV90" s="27">
        <v>0.8618957940991839</v>
      </c>
      <c r="AW90" s="26">
        <v>12.0</v>
      </c>
      <c r="AX90" s="26">
        <v>17.0</v>
      </c>
      <c r="AY90" s="26">
        <v>10.0</v>
      </c>
      <c r="AZ90" s="26">
        <v>11.0</v>
      </c>
      <c r="BA90" s="26">
        <v>9.0</v>
      </c>
      <c r="BB90" s="26">
        <v>8.0</v>
      </c>
      <c r="BC90" s="27">
        <v>0.07236842105263158</v>
      </c>
      <c r="BD90" s="26">
        <v>0.0</v>
      </c>
      <c r="BE90" s="26">
        <v>0.0</v>
      </c>
      <c r="BF90" s="26">
        <v>0.0</v>
      </c>
      <c r="BG90" s="26">
        <v>0.0</v>
      </c>
      <c r="BH90" s="26">
        <v>0.0</v>
      </c>
      <c r="BI90" s="26">
        <v>0.0</v>
      </c>
    </row>
    <row r="91" spans="1:61" ht="19.15" customHeight="1">
      <c r="A91" s="2"/>
      <c r="B91" s="8"/>
      <c r="C91" s="8" t="s">
        <v>187</v>
      </c>
      <c r="D91" s="15">
        <v>664.0</v>
      </c>
      <c r="E91" s="15">
        <v>1741.0</v>
      </c>
      <c r="F91" s="15">
        <v>2008.0</v>
      </c>
      <c r="G91" s="15">
        <v>1849.0</v>
      </c>
      <c r="H91" s="15">
        <v>1849.0</v>
      </c>
      <c r="I91" s="15">
        <v>0.0</v>
      </c>
      <c r="J91" s="15">
        <v>0.0</v>
      </c>
      <c r="K91" s="15">
        <v>159.0</v>
      </c>
      <c r="L91" s="15">
        <v>1519.0</v>
      </c>
      <c r="M91" s="16">
        <v>0.8670318725099602</v>
      </c>
      <c r="N91" s="16">
        <v>0.920816733067729</v>
      </c>
      <c r="O91" s="16">
        <v>0.920816733067729</v>
      </c>
      <c r="P91" s="16">
        <v>0.07918326693227092</v>
      </c>
      <c r="Q91" s="16">
        <v>0.7564741035856574</v>
      </c>
      <c r="R91" s="8">
        <v>3.0</v>
      </c>
      <c r="S91" s="8">
        <v>0.0</v>
      </c>
      <c r="T91" s="16">
        <f>IFERROR(S91/R91,"")</f>
        <v>0.0</v>
      </c>
      <c r="U91" s="8">
        <v>3.0</v>
      </c>
      <c r="V91" s="16">
        <v>1.0</v>
      </c>
      <c r="W91" s="16">
        <v>1.0</v>
      </c>
      <c r="X91" s="31">
        <v>2.0</v>
      </c>
      <c r="Y91" s="16">
        <v>0.6666666666666666</v>
      </c>
      <c r="Z91" s="16">
        <v>0.0</v>
      </c>
      <c r="AA91" s="8">
        <v>9.0</v>
      </c>
      <c r="AB91" s="16">
        <v>1.25</v>
      </c>
      <c r="AC91" s="15">
        <v>0.0</v>
      </c>
      <c r="AD91" s="16">
        <f>IFERROR(AC91/AA91,"")</f>
        <v>0.0</v>
      </c>
      <c r="AE91" s="16">
        <v>0.8888888888888888</v>
      </c>
      <c r="AF91" s="31">
        <v>5.0</v>
      </c>
      <c r="AG91" s="16">
        <v>0.5555555555555556</v>
      </c>
      <c r="AH91" s="8">
        <v>10.0</v>
      </c>
      <c r="AI91" s="8">
        <v>0.0</v>
      </c>
      <c r="AJ91" s="16">
        <f>IFERROR(AI91/AH91,"")</f>
        <v>0.0</v>
      </c>
      <c r="AK91" s="16">
        <v>0.8875</v>
      </c>
      <c r="AL91" s="16">
        <v>0.4</v>
      </c>
      <c r="AM91" s="16">
        <v>0.2</v>
      </c>
      <c r="AN91" s="8">
        <v>0.0</v>
      </c>
      <c r="AO91" s="22"/>
      <c r="AP91" s="28">
        <v>387.0</v>
      </c>
      <c r="AQ91" s="26">
        <v>2385.0</v>
      </c>
      <c r="AR91" s="26">
        <v>1837.0</v>
      </c>
      <c r="AS91" s="26">
        <v>1579.0</v>
      </c>
      <c r="AT91" s="26">
        <v>1864.0</v>
      </c>
      <c r="AU91" s="26">
        <v>159.0</v>
      </c>
      <c r="AV91" s="27">
        <v>0.859553620032662</v>
      </c>
      <c r="AW91" s="26">
        <v>15.0</v>
      </c>
      <c r="AX91" s="26">
        <v>16.0</v>
      </c>
      <c r="AY91" s="26">
        <v>9.0</v>
      </c>
      <c r="AZ91" s="26">
        <v>9.0</v>
      </c>
      <c r="BA91" s="26">
        <v>8.0</v>
      </c>
      <c r="BB91" s="26">
        <v>8.0</v>
      </c>
      <c r="BC91" s="27">
        <v>0.05660377358490566</v>
      </c>
      <c r="BD91" s="26">
        <v>0.0</v>
      </c>
      <c r="BE91" s="26">
        <v>0.0</v>
      </c>
      <c r="BF91" s="26">
        <v>0.0</v>
      </c>
      <c r="BG91" s="26">
        <v>0.0</v>
      </c>
      <c r="BH91" s="26">
        <v>0.0</v>
      </c>
      <c r="BI91" s="26">
        <v>0.0</v>
      </c>
    </row>
    <row r="92" spans="1:61" ht="19.15" customHeight="1">
      <c r="A92" s="2"/>
      <c r="B92" s="8"/>
      <c r="C92" s="8" t="s">
        <v>188</v>
      </c>
      <c r="D92" s="15">
        <v>461.0</v>
      </c>
      <c r="E92" s="15">
        <v>1261.0</v>
      </c>
      <c r="F92" s="15">
        <v>1471.0</v>
      </c>
      <c r="G92" s="15">
        <v>1332.0</v>
      </c>
      <c r="H92" s="15">
        <v>1332.0</v>
      </c>
      <c r="I92" s="15">
        <v>0.0</v>
      </c>
      <c r="J92" s="15">
        <v>0.0</v>
      </c>
      <c r="K92" s="15">
        <v>139.0</v>
      </c>
      <c r="L92" s="15">
        <v>1138.0</v>
      </c>
      <c r="M92" s="16">
        <v>0.8572399728076139</v>
      </c>
      <c r="N92" s="16">
        <v>0.9055064581917063</v>
      </c>
      <c r="O92" s="16">
        <v>0.9055064581917063</v>
      </c>
      <c r="P92" s="16">
        <v>0.09449354180829368</v>
      </c>
      <c r="Q92" s="16">
        <v>0.7736233854520734</v>
      </c>
      <c r="R92" s="8">
        <v>0.0</v>
      </c>
      <c r="S92" s="8"/>
      <c r="T92" s="16" t="str">
        <f>IFERROR(S92/R92,"")</f>
        <v/>
      </c>
      <c r="U92" s="8">
        <v>0.0</v>
      </c>
      <c r="V92" s="16"/>
      <c r="W92" s="16"/>
      <c r="X92" s="31"/>
      <c r="Y92" s="16"/>
      <c r="Z92" s="16"/>
      <c r="AA92" s="8">
        <v>1.0</v>
      </c>
      <c r="AB92" s="16">
        <v>1.75</v>
      </c>
      <c r="AC92" s="15">
        <v>0.0</v>
      </c>
      <c r="AD92" s="16">
        <f>IFERROR(AC92/AA92,"")</f>
        <v>0.0</v>
      </c>
      <c r="AE92" s="16">
        <v>1.0</v>
      </c>
      <c r="AF92" s="31">
        <v>0.0</v>
      </c>
      <c r="AG92" s="16">
        <v>0.0</v>
      </c>
      <c r="AH92" s="8">
        <v>4.0</v>
      </c>
      <c r="AI92" s="8">
        <v>0.0</v>
      </c>
      <c r="AJ92" s="16">
        <f>IFERROR(AI92/AH92,"")</f>
        <v>0.0</v>
      </c>
      <c r="AK92" s="16">
        <v>1.0</v>
      </c>
      <c r="AL92" s="16">
        <v>1.0</v>
      </c>
      <c r="AM92" s="16">
        <v>0.0</v>
      </c>
      <c r="AN92" s="8">
        <v>0.0</v>
      </c>
      <c r="AO92" s="22"/>
      <c r="AP92" s="28">
        <v>279.0</v>
      </c>
      <c r="AQ92" s="26">
        <v>1737.0</v>
      </c>
      <c r="AR92" s="26">
        <v>1325.0</v>
      </c>
      <c r="AS92" s="26">
        <v>1157.0</v>
      </c>
      <c r="AT92" s="26">
        <v>1380.0</v>
      </c>
      <c r="AU92" s="26">
        <v>139.0</v>
      </c>
      <c r="AV92" s="27">
        <v>0.8732075471698113</v>
      </c>
      <c r="AW92" s="26">
        <v>8.0</v>
      </c>
      <c r="AX92" s="26">
        <v>10.0</v>
      </c>
      <c r="AY92" s="26">
        <v>10.0</v>
      </c>
      <c r="AZ92" s="26">
        <v>10.0</v>
      </c>
      <c r="BA92" s="26">
        <v>7.0</v>
      </c>
      <c r="BB92" s="26">
        <v>7.0</v>
      </c>
      <c r="BC92" s="27">
        <v>0.07194244604316546</v>
      </c>
      <c r="BD92" s="26">
        <v>0.0</v>
      </c>
      <c r="BE92" s="26">
        <v>0.0</v>
      </c>
      <c r="BF92" s="26">
        <v>0.0</v>
      </c>
      <c r="BG92" s="26">
        <v>0.0</v>
      </c>
      <c r="BH92" s="26">
        <v>0.0</v>
      </c>
      <c r="BI92" s="26">
        <v>0.0</v>
      </c>
    </row>
    <row r="93" spans="1:61" ht="19.15" customHeight="1">
      <c r="A93" s="2"/>
      <c r="B93" s="8"/>
      <c r="C93" s="8" t="s">
        <v>189</v>
      </c>
      <c r="D93" s="15">
        <v>485.0</v>
      </c>
      <c r="E93" s="15">
        <v>1247.0</v>
      </c>
      <c r="F93" s="15">
        <v>1466.0</v>
      </c>
      <c r="G93" s="15">
        <v>1356.0</v>
      </c>
      <c r="H93" s="15">
        <v>1356.0</v>
      </c>
      <c r="I93" s="15">
        <v>0.0</v>
      </c>
      <c r="J93" s="15">
        <v>0.0</v>
      </c>
      <c r="K93" s="15">
        <v>110.0</v>
      </c>
      <c r="L93" s="15">
        <v>1106.0</v>
      </c>
      <c r="M93" s="16">
        <v>0.8506139154160982</v>
      </c>
      <c r="N93" s="16">
        <v>0.9249658935879945</v>
      </c>
      <c r="O93" s="16">
        <v>0.9249658935879945</v>
      </c>
      <c r="P93" s="16">
        <v>0.07503410641200546</v>
      </c>
      <c r="Q93" s="16">
        <v>0.7544338335607094</v>
      </c>
      <c r="R93" s="8">
        <v>5.0</v>
      </c>
      <c r="S93" s="8">
        <v>0.0</v>
      </c>
      <c r="T93" s="16">
        <f>IFERROR(S93/R93,"")</f>
        <v>0.0</v>
      </c>
      <c r="U93" s="8">
        <v>5.0</v>
      </c>
      <c r="V93" s="16">
        <v>0.8</v>
      </c>
      <c r="W93" s="16">
        <v>1.0</v>
      </c>
      <c r="X93" s="31">
        <v>4.0</v>
      </c>
      <c r="Y93" s="16">
        <v>0.8</v>
      </c>
      <c r="Z93" s="16">
        <v>0.0</v>
      </c>
      <c r="AA93" s="8">
        <v>2.0</v>
      </c>
      <c r="AB93" s="16">
        <v>1.0</v>
      </c>
      <c r="AC93" s="15">
        <v>0.0</v>
      </c>
      <c r="AD93" s="16">
        <f>IFERROR(AC93/AA93,"")</f>
        <v>0.0</v>
      </c>
      <c r="AE93" s="16">
        <v>1.0</v>
      </c>
      <c r="AF93" s="31">
        <v>1.0</v>
      </c>
      <c r="AG93" s="16">
        <v>0.5</v>
      </c>
      <c r="AH93" s="8">
        <v>3.0</v>
      </c>
      <c r="AI93" s="8">
        <v>0.0</v>
      </c>
      <c r="AJ93" s="16">
        <f>IFERROR(AI93/AH93,"")</f>
        <v>0.0</v>
      </c>
      <c r="AK93" s="16">
        <v>1.0</v>
      </c>
      <c r="AL93" s="16">
        <v>0.6666666666666666</v>
      </c>
      <c r="AM93" s="16">
        <v>0.3333333333333333</v>
      </c>
      <c r="AN93" s="8">
        <v>0.0</v>
      </c>
      <c r="AO93" s="22"/>
      <c r="AP93" s="28">
        <v>289.0</v>
      </c>
      <c r="AQ93" s="26">
        <v>1753.0</v>
      </c>
      <c r="AR93" s="26">
        <v>1356.0</v>
      </c>
      <c r="AS93" s="26">
        <v>1169.0</v>
      </c>
      <c r="AT93" s="26">
        <v>1391.0</v>
      </c>
      <c r="AU93" s="26">
        <v>110.0</v>
      </c>
      <c r="AV93" s="27">
        <v>0.862094395280236</v>
      </c>
      <c r="AW93" s="26">
        <v>10.0</v>
      </c>
      <c r="AX93" s="26">
        <v>13.0</v>
      </c>
      <c r="AY93" s="26">
        <v>0.0</v>
      </c>
      <c r="AZ93" s="26">
        <v>0.0</v>
      </c>
      <c r="BA93" s="26">
        <v>0.0</v>
      </c>
      <c r="BB93" s="26">
        <v>0.0</v>
      </c>
      <c r="BC93" s="27">
        <v>0.0</v>
      </c>
      <c r="BD93" s="26">
        <v>0.0</v>
      </c>
      <c r="BE93" s="26">
        <v>0.0</v>
      </c>
      <c r="BF93" s="26">
        <v>0.0</v>
      </c>
      <c r="BG93" s="26">
        <v>0.0</v>
      </c>
      <c r="BH93" s="26">
        <v>0.0</v>
      </c>
      <c r="BI93" s="26">
        <v>0.0</v>
      </c>
    </row>
    <row r="94" spans="1:61" ht="19.15" customHeight="1">
      <c r="A94" s="2"/>
      <c r="B94" s="8"/>
      <c r="C94" s="8" t="s">
        <v>190</v>
      </c>
      <c r="D94" s="15">
        <v>685.0</v>
      </c>
      <c r="E94" s="15">
        <v>1809.0</v>
      </c>
      <c r="F94" s="15">
        <v>2109.0</v>
      </c>
      <c r="G94" s="15">
        <v>1965.0</v>
      </c>
      <c r="H94" s="15">
        <v>1965.0</v>
      </c>
      <c r="I94" s="15">
        <v>0.0</v>
      </c>
      <c r="J94" s="15">
        <v>0.0</v>
      </c>
      <c r="K94" s="15">
        <v>144.0</v>
      </c>
      <c r="L94" s="15">
        <v>1620.0</v>
      </c>
      <c r="M94" s="16">
        <v>0.8577524893314367</v>
      </c>
      <c r="N94" s="16">
        <v>0.9317211948790897</v>
      </c>
      <c r="O94" s="16">
        <v>0.9317211948790897</v>
      </c>
      <c r="P94" s="16">
        <v>0.06827880512091039</v>
      </c>
      <c r="Q94" s="16">
        <v>0.7681365576102418</v>
      </c>
      <c r="R94" s="8">
        <v>7.0</v>
      </c>
      <c r="S94" s="8">
        <v>0.0</v>
      </c>
      <c r="T94" s="16">
        <f>IFERROR(S94/R94,"")</f>
        <v>0.0</v>
      </c>
      <c r="U94" s="8">
        <v>7.0</v>
      </c>
      <c r="V94" s="16">
        <v>0.7142857142857143</v>
      </c>
      <c r="W94" s="16">
        <v>1.0</v>
      </c>
      <c r="X94" s="31">
        <v>7.0</v>
      </c>
      <c r="Y94" s="16">
        <v>1.0</v>
      </c>
      <c r="Z94" s="16">
        <v>0.0</v>
      </c>
      <c r="AA94" s="8">
        <v>5.0</v>
      </c>
      <c r="AB94" s="16">
        <v>1.2</v>
      </c>
      <c r="AC94" s="15">
        <v>0.0</v>
      </c>
      <c r="AD94" s="16">
        <f>IFERROR(AC94/AA94,"")</f>
        <v>0.0</v>
      </c>
      <c r="AE94" s="16">
        <v>1.0</v>
      </c>
      <c r="AF94" s="31">
        <v>5.0</v>
      </c>
      <c r="AG94" s="16">
        <v>1.0</v>
      </c>
      <c r="AH94" s="8">
        <v>5.0</v>
      </c>
      <c r="AI94" s="8">
        <v>0.0</v>
      </c>
      <c r="AJ94" s="16">
        <f>IFERROR(AI94/AH94,"")</f>
        <v>0.0</v>
      </c>
      <c r="AK94" s="16">
        <v>0.925</v>
      </c>
      <c r="AL94" s="16">
        <v>0.4</v>
      </c>
      <c r="AM94" s="16">
        <v>0.2</v>
      </c>
      <c r="AN94" s="8">
        <v>0.0</v>
      </c>
      <c r="AO94" s="22"/>
      <c r="AP94" s="28">
        <v>403.0</v>
      </c>
      <c r="AQ94" s="26">
        <v>2445.0</v>
      </c>
      <c r="AR94" s="26">
        <v>1951.0</v>
      </c>
      <c r="AS94" s="26">
        <v>1671.0</v>
      </c>
      <c r="AT94" s="26">
        <v>2044.0</v>
      </c>
      <c r="AU94" s="26">
        <v>143.0</v>
      </c>
      <c r="AV94" s="27">
        <v>0.8564838544336237</v>
      </c>
      <c r="AW94" s="26">
        <v>8.0</v>
      </c>
      <c r="AX94" s="26">
        <v>8.0</v>
      </c>
      <c r="AY94" s="26">
        <v>15.0</v>
      </c>
      <c r="AZ94" s="26">
        <v>16.0</v>
      </c>
      <c r="BA94" s="26">
        <v>14.0</v>
      </c>
      <c r="BB94" s="26">
        <v>14.0</v>
      </c>
      <c r="BC94" s="27">
        <v>0.11188811188811189</v>
      </c>
      <c r="BD94" s="26">
        <v>0.0</v>
      </c>
      <c r="BE94" s="26">
        <v>0.0</v>
      </c>
      <c r="BF94" s="26">
        <v>0.0</v>
      </c>
      <c r="BG94" s="26">
        <v>0.0</v>
      </c>
      <c r="BH94" s="26">
        <v>0.0</v>
      </c>
      <c r="BI94" s="26">
        <v>0.0</v>
      </c>
    </row>
    <row r="95" spans="1:61" ht="19.15" customHeight="1">
      <c r="A95" s="2"/>
      <c r="B95" s="8"/>
      <c r="C95" s="8" t="s">
        <v>191</v>
      </c>
      <c r="D95" s="15">
        <v>242.0</v>
      </c>
      <c r="E95" s="15">
        <v>665.0</v>
      </c>
      <c r="F95" s="15">
        <v>757.0</v>
      </c>
      <c r="G95" s="15">
        <v>682.0</v>
      </c>
      <c r="H95" s="15">
        <v>682.0</v>
      </c>
      <c r="I95" s="15">
        <v>0.0</v>
      </c>
      <c r="J95" s="15">
        <v>0.0</v>
      </c>
      <c r="K95" s="15">
        <v>75.0</v>
      </c>
      <c r="L95" s="15">
        <v>598.0</v>
      </c>
      <c r="M95" s="16">
        <v>0.8784676354029062</v>
      </c>
      <c r="N95" s="16">
        <v>0.9009247027741083</v>
      </c>
      <c r="O95" s="16">
        <v>0.9009247027741083</v>
      </c>
      <c r="P95" s="16">
        <v>0.09907529722589167</v>
      </c>
      <c r="Q95" s="16">
        <v>0.7899603698811096</v>
      </c>
      <c r="R95" s="8">
        <v>0.0</v>
      </c>
      <c r="S95" s="8"/>
      <c r="T95" s="16" t="str">
        <f>IFERROR(S95/R95,"")</f>
        <v/>
      </c>
      <c r="U95" s="8">
        <v>0.0</v>
      </c>
      <c r="V95" s="16"/>
      <c r="W95" s="16"/>
      <c r="X95" s="31"/>
      <c r="Y95" s="16"/>
      <c r="Z95" s="16"/>
      <c r="AA95" s="8">
        <v>0.0</v>
      </c>
      <c r="AB95" s="16"/>
      <c r="AC95" s="15"/>
      <c r="AD95" s="16" t="str">
        <f>IFERROR(AC95/AA95,"")</f>
        <v/>
      </c>
      <c r="AE95" s="16"/>
      <c r="AF95" s="31"/>
      <c r="AG95" s="16"/>
      <c r="AH95" s="8">
        <v>3.0</v>
      </c>
      <c r="AI95" s="8">
        <v>0.0</v>
      </c>
      <c r="AJ95" s="16">
        <f>IFERROR(AI95/AH95,"")</f>
        <v>0.0</v>
      </c>
      <c r="AK95" s="16">
        <v>0.7916666666666666</v>
      </c>
      <c r="AL95" s="16">
        <v>0.6666666666666666</v>
      </c>
      <c r="AM95" s="16">
        <v>0.6666666666666666</v>
      </c>
      <c r="AN95" s="8">
        <v>0.0</v>
      </c>
      <c r="AO95" s="22"/>
      <c r="AP95" s="28">
        <v>145.0</v>
      </c>
      <c r="AQ95" s="26">
        <v>907.0</v>
      </c>
      <c r="AR95" s="26">
        <v>673.0</v>
      </c>
      <c r="AS95" s="26">
        <v>562.0</v>
      </c>
      <c r="AT95" s="26">
        <v>704.0</v>
      </c>
      <c r="AU95" s="26">
        <v>74.0</v>
      </c>
      <c r="AV95" s="27">
        <v>0.8350668647845468</v>
      </c>
      <c r="AW95" s="26">
        <v>11.0</v>
      </c>
      <c r="AX95" s="26">
        <v>13.0</v>
      </c>
      <c r="AY95" s="26">
        <v>9.0</v>
      </c>
      <c r="AZ95" s="26">
        <v>11.0</v>
      </c>
      <c r="BA95" s="26">
        <v>7.0</v>
      </c>
      <c r="BB95" s="26">
        <v>7.0</v>
      </c>
      <c r="BC95" s="27">
        <v>0.14864864864864866</v>
      </c>
      <c r="BD95" s="26">
        <v>0.0</v>
      </c>
      <c r="BE95" s="26">
        <v>0.0</v>
      </c>
      <c r="BF95" s="26">
        <v>0.0</v>
      </c>
      <c r="BG95" s="26">
        <v>0.0</v>
      </c>
      <c r="BH95" s="26">
        <v>0.0</v>
      </c>
      <c r="BI95" s="26">
        <v>0.0</v>
      </c>
    </row>
    <row r="96" spans="1:61" ht="19.15" customHeight="1">
      <c r="A96" s="2"/>
      <c r="B96" s="8"/>
      <c r="C96" s="8" t="s">
        <v>192</v>
      </c>
      <c r="D96" s="15">
        <v>242.0</v>
      </c>
      <c r="E96" s="15">
        <v>633.0</v>
      </c>
      <c r="F96" s="15">
        <v>766.0</v>
      </c>
      <c r="G96" s="15">
        <v>675.0</v>
      </c>
      <c r="H96" s="15">
        <v>675.0</v>
      </c>
      <c r="I96" s="15">
        <v>0.0</v>
      </c>
      <c r="J96" s="15">
        <v>0.0</v>
      </c>
      <c r="K96" s="15">
        <v>91.0</v>
      </c>
      <c r="L96" s="15">
        <v>568.0</v>
      </c>
      <c r="M96" s="16">
        <v>0.8263707571801566</v>
      </c>
      <c r="N96" s="16">
        <v>0.881201044386423</v>
      </c>
      <c r="O96" s="16">
        <v>0.881201044386423</v>
      </c>
      <c r="P96" s="16">
        <v>0.11879895561357702</v>
      </c>
      <c r="Q96" s="16">
        <v>0.741514360313316</v>
      </c>
      <c r="R96" s="8">
        <v>0.0</v>
      </c>
      <c r="S96" s="8"/>
      <c r="T96" s="16" t="str">
        <f>IFERROR(S96/R96,"")</f>
        <v/>
      </c>
      <c r="U96" s="8">
        <v>0.0</v>
      </c>
      <c r="V96" s="16"/>
      <c r="W96" s="16"/>
      <c r="X96" s="31"/>
      <c r="Y96" s="16"/>
      <c r="Z96" s="16"/>
      <c r="AA96" s="8">
        <v>1.0</v>
      </c>
      <c r="AB96" s="16">
        <v>1.25</v>
      </c>
      <c r="AC96" s="15">
        <v>0.0</v>
      </c>
      <c r="AD96" s="16">
        <f>IFERROR(AC96/AA96,"")</f>
        <v>0.0</v>
      </c>
      <c r="AE96" s="16">
        <v>0.0</v>
      </c>
      <c r="AF96" s="31">
        <v>0.0</v>
      </c>
      <c r="AG96" s="16">
        <v>0.0</v>
      </c>
      <c r="AH96" s="8">
        <v>4.0</v>
      </c>
      <c r="AI96" s="8">
        <v>1.0</v>
      </c>
      <c r="AJ96" s="16">
        <f>IFERROR(AI96/AH96,"")</f>
        <v>0.25</v>
      </c>
      <c r="AK96" s="16">
        <v>0.8125</v>
      </c>
      <c r="AL96" s="16">
        <v>0.5</v>
      </c>
      <c r="AM96" s="16">
        <v>0.0</v>
      </c>
      <c r="AN96" s="8">
        <v>0.0</v>
      </c>
      <c r="AO96" s="22"/>
      <c r="AP96" s="28">
        <v>143.0</v>
      </c>
      <c r="AQ96" s="26">
        <v>894.0</v>
      </c>
      <c r="AR96" s="26">
        <v>673.0</v>
      </c>
      <c r="AS96" s="26">
        <v>597.0</v>
      </c>
      <c r="AT96" s="26">
        <v>697.0</v>
      </c>
      <c r="AU96" s="26">
        <v>88.0</v>
      </c>
      <c r="AV96" s="27">
        <v>0.8870728083209509</v>
      </c>
      <c r="AW96" s="26">
        <v>10.0</v>
      </c>
      <c r="AX96" s="26">
        <v>14.0</v>
      </c>
      <c r="AY96" s="26">
        <v>5.0</v>
      </c>
      <c r="AZ96" s="26">
        <v>6.0</v>
      </c>
      <c r="BA96" s="26">
        <v>3.0</v>
      </c>
      <c r="BB96" s="26">
        <v>3.0</v>
      </c>
      <c r="BC96" s="27">
        <v>0.06818181818181818</v>
      </c>
      <c r="BD96" s="26">
        <v>0.0</v>
      </c>
      <c r="BE96" s="26">
        <v>0.0</v>
      </c>
      <c r="BF96" s="26">
        <v>0.0</v>
      </c>
      <c r="BG96" s="26">
        <v>0.0</v>
      </c>
      <c r="BH96" s="26">
        <v>0.0</v>
      </c>
      <c r="BI96" s="26">
        <v>0.0</v>
      </c>
    </row>
    <row r="97" spans="1:61" ht="19.15" customHeight="1">
      <c r="A97" s="2"/>
      <c r="B97" s="8" t="s">
        <v>112</v>
      </c>
      <c r="C97" s="8" t="s">
        <v>17</v>
      </c>
      <c r="D97" s="15">
        <v>410.0</v>
      </c>
      <c r="E97" s="15">
        <v>1061.0</v>
      </c>
      <c r="F97" s="15">
        <v>1294.0</v>
      </c>
      <c r="G97" s="15">
        <v>1155.0</v>
      </c>
      <c r="H97" s="15">
        <v>1155.0</v>
      </c>
      <c r="I97" s="15">
        <v>0.0</v>
      </c>
      <c r="J97" s="15">
        <v>0.0</v>
      </c>
      <c r="K97" s="15">
        <v>139.0</v>
      </c>
      <c r="L97" s="15">
        <v>1029.0</v>
      </c>
      <c r="M97" s="16">
        <v>0.8199381761978362</v>
      </c>
      <c r="N97" s="16">
        <v>0.89258114374034</v>
      </c>
      <c r="O97" s="16">
        <v>0.89258114374034</v>
      </c>
      <c r="P97" s="16">
        <v>0.10741885625965997</v>
      </c>
      <c r="Q97" s="16">
        <v>0.7952086553323029</v>
      </c>
      <c r="R97" s="8">
        <v>14.0</v>
      </c>
      <c r="S97" s="8">
        <v>0.0</v>
      </c>
      <c r="T97" s="16">
        <f>IFERROR(S97/R97,"")</f>
        <v>0.0</v>
      </c>
      <c r="U97" s="8">
        <v>14.0</v>
      </c>
      <c r="V97" s="16">
        <v>0.8571428571428571</v>
      </c>
      <c r="W97" s="16">
        <v>1.0</v>
      </c>
      <c r="X97" s="31">
        <v>12.0</v>
      </c>
      <c r="Y97" s="16">
        <v>0.8571428571428571</v>
      </c>
      <c r="Z97" s="16">
        <v>0.0</v>
      </c>
      <c r="AA97" s="8">
        <v>19.0</v>
      </c>
      <c r="AB97" s="16">
        <v>1.1710526315789473</v>
      </c>
      <c r="AC97" s="15">
        <v>0.0</v>
      </c>
      <c r="AD97" s="16">
        <f>IFERROR(AC97/AA97,"")</f>
        <v>0.0</v>
      </c>
      <c r="AE97" s="16">
        <v>0.631578947368421</v>
      </c>
      <c r="AF97" s="31">
        <v>9.0</v>
      </c>
      <c r="AG97" s="16">
        <v>0.47368421052631576</v>
      </c>
      <c r="AH97" s="8">
        <v>18.0</v>
      </c>
      <c r="AI97" s="8">
        <v>0.0</v>
      </c>
      <c r="AJ97" s="16">
        <f>IFERROR(AI97/AH97,"")</f>
        <v>0.0</v>
      </c>
      <c r="AK97" s="16">
        <v>0.9444444444444444</v>
      </c>
      <c r="AL97" s="16">
        <v>0.3888888888888889</v>
      </c>
      <c r="AM97" s="16">
        <v>0.2222222222222222</v>
      </c>
      <c r="AN97" s="8">
        <v>0.0</v>
      </c>
      <c r="AO97" s="22"/>
      <c r="AP97" s="28">
        <v>238.0</v>
      </c>
      <c r="AQ97" s="26">
        <v>1498.0</v>
      </c>
      <c r="AR97" s="26">
        <v>1148.0</v>
      </c>
      <c r="AS97" s="26">
        <v>1052.0</v>
      </c>
      <c r="AT97" s="26">
        <v>1182.0</v>
      </c>
      <c r="AU97" s="26">
        <v>137.0</v>
      </c>
      <c r="AV97" s="27">
        <v>0.9163763066202091</v>
      </c>
      <c r="AW97" s="26">
        <v>0.0</v>
      </c>
      <c r="AX97" s="26">
        <v>0.0</v>
      </c>
      <c r="AY97" s="26">
        <v>12.0</v>
      </c>
      <c r="AZ97" s="26">
        <v>13.0</v>
      </c>
      <c r="BA97" s="26">
        <v>7.0</v>
      </c>
      <c r="BB97" s="26">
        <v>7.0</v>
      </c>
      <c r="BC97" s="27">
        <v>0.0948905109489051</v>
      </c>
      <c r="BD97" s="26">
        <v>0.0</v>
      </c>
      <c r="BE97" s="26">
        <v>0.0</v>
      </c>
      <c r="BF97" s="26">
        <v>0.0</v>
      </c>
      <c r="BG97" s="26">
        <v>0.0</v>
      </c>
      <c r="BH97" s="26">
        <v>0.0</v>
      </c>
      <c r="BI97" s="26">
        <v>0.0</v>
      </c>
    </row>
    <row r="98" spans="1:61" ht="19.15" customHeight="1">
      <c r="A98" s="2"/>
      <c r="B98" s="8"/>
      <c r="C98" s="8" t="s">
        <v>193</v>
      </c>
      <c r="D98" s="15">
        <v>383.0</v>
      </c>
      <c r="E98" s="15">
        <v>1048.0</v>
      </c>
      <c r="F98" s="15">
        <v>1239.0</v>
      </c>
      <c r="G98" s="15">
        <v>1119.0</v>
      </c>
      <c r="H98" s="15">
        <v>1119.0</v>
      </c>
      <c r="I98" s="15">
        <v>0.0</v>
      </c>
      <c r="J98" s="15">
        <v>0.0</v>
      </c>
      <c r="K98" s="15">
        <v>120.0</v>
      </c>
      <c r="L98" s="15">
        <v>1017.0</v>
      </c>
      <c r="M98" s="16">
        <v>0.8458434221146085</v>
      </c>
      <c r="N98" s="16">
        <v>0.9031476997578692</v>
      </c>
      <c r="O98" s="16">
        <v>0.9031476997578692</v>
      </c>
      <c r="P98" s="16">
        <v>0.09685230024213075</v>
      </c>
      <c r="Q98" s="16">
        <v>0.8208232445520581</v>
      </c>
      <c r="R98" s="8">
        <v>18.0</v>
      </c>
      <c r="S98" s="8">
        <v>1.0</v>
      </c>
      <c r="T98" s="16">
        <f>IFERROR(S98/R98,"")</f>
        <v>0.05555555555555555</v>
      </c>
      <c r="U98" s="8">
        <v>18.0</v>
      </c>
      <c r="V98" s="16">
        <v>0.8888888888888888</v>
      </c>
      <c r="W98" s="16">
        <v>1.0</v>
      </c>
      <c r="X98" s="31">
        <v>16.0</v>
      </c>
      <c r="Y98" s="16">
        <v>0.8888888888888888</v>
      </c>
      <c r="Z98" s="16">
        <v>0.0</v>
      </c>
      <c r="AA98" s="8">
        <v>23.0</v>
      </c>
      <c r="AB98" s="16">
        <v>1.2065217391304348</v>
      </c>
      <c r="AC98" s="15">
        <v>0.0</v>
      </c>
      <c r="AD98" s="16">
        <f>IFERROR(AC98/AA98,"")</f>
        <v>0.0</v>
      </c>
      <c r="AE98" s="16">
        <v>0.6521739130434783</v>
      </c>
      <c r="AF98" s="31">
        <v>13.0</v>
      </c>
      <c r="AG98" s="16">
        <v>0.5652173913043478</v>
      </c>
      <c r="AH98" s="8">
        <v>19.0</v>
      </c>
      <c r="AI98" s="8">
        <v>0.0</v>
      </c>
      <c r="AJ98" s="16">
        <f>IFERROR(AI98/AH98,"")</f>
        <v>0.0</v>
      </c>
      <c r="AK98" s="16">
        <v>0.8618421052631579</v>
      </c>
      <c r="AL98" s="16">
        <v>0.47368421052631576</v>
      </c>
      <c r="AM98" s="16">
        <v>0.3684210526315789</v>
      </c>
      <c r="AN98" s="8">
        <v>0.0</v>
      </c>
      <c r="AO98" s="22"/>
      <c r="AP98" s="28">
        <v>228.0</v>
      </c>
      <c r="AQ98" s="26">
        <v>1414.0</v>
      </c>
      <c r="AR98" s="26">
        <v>1109.0</v>
      </c>
      <c r="AS98" s="26">
        <v>994.0</v>
      </c>
      <c r="AT98" s="26">
        <v>1138.0</v>
      </c>
      <c r="AU98" s="26">
        <v>117.0</v>
      </c>
      <c r="AV98" s="27">
        <v>0.8963029756537421</v>
      </c>
      <c r="AW98" s="26">
        <v>1.0</v>
      </c>
      <c r="AX98" s="26">
        <v>1.0</v>
      </c>
      <c r="AY98" s="26">
        <v>14.0</v>
      </c>
      <c r="AZ98" s="26">
        <v>16.0</v>
      </c>
      <c r="BA98" s="26">
        <v>12.0</v>
      </c>
      <c r="BB98" s="26">
        <v>12.0</v>
      </c>
      <c r="BC98" s="27">
        <v>0.13675213675213677</v>
      </c>
      <c r="BD98" s="26">
        <v>0.0</v>
      </c>
      <c r="BE98" s="26">
        <v>0.0</v>
      </c>
      <c r="BF98" s="26">
        <v>0.0</v>
      </c>
      <c r="BG98" s="26">
        <v>0.0</v>
      </c>
      <c r="BH98" s="26">
        <v>0.0</v>
      </c>
      <c r="BI98" s="26">
        <v>0.0</v>
      </c>
    </row>
    <row r="99" spans="1:61" ht="19.15" customHeight="1">
      <c r="A99" s="2"/>
      <c r="B99" s="8"/>
      <c r="C99" s="8" t="s">
        <v>18</v>
      </c>
      <c r="D99" s="15">
        <v>396.0</v>
      </c>
      <c r="E99" s="15">
        <v>1062.0</v>
      </c>
      <c r="F99" s="15">
        <v>1253.0</v>
      </c>
      <c r="G99" s="15">
        <v>1156.0</v>
      </c>
      <c r="H99" s="15">
        <v>1156.0</v>
      </c>
      <c r="I99" s="15">
        <v>0.0</v>
      </c>
      <c r="J99" s="15">
        <v>0.0</v>
      </c>
      <c r="K99" s="15">
        <v>97.0</v>
      </c>
      <c r="L99" s="15">
        <v>1038.0</v>
      </c>
      <c r="M99" s="16">
        <v>0.8475658419792498</v>
      </c>
      <c r="N99" s="16">
        <v>0.922585794094174</v>
      </c>
      <c r="O99" s="16">
        <v>0.922585794094174</v>
      </c>
      <c r="P99" s="16">
        <v>0.07741420590582601</v>
      </c>
      <c r="Q99" s="16">
        <v>0.8284118116520351</v>
      </c>
      <c r="R99" s="8">
        <v>20.0</v>
      </c>
      <c r="S99" s="8">
        <v>0.0</v>
      </c>
      <c r="T99" s="16">
        <f>IFERROR(S99/R99,"")</f>
        <v>0.0</v>
      </c>
      <c r="U99" s="8">
        <v>20.0</v>
      </c>
      <c r="V99" s="16">
        <v>0.7</v>
      </c>
      <c r="W99" s="16">
        <v>0.9</v>
      </c>
      <c r="X99" s="31">
        <v>16.0</v>
      </c>
      <c r="Y99" s="16">
        <v>0.8</v>
      </c>
      <c r="Z99" s="16">
        <v>0.0</v>
      </c>
      <c r="AA99" s="8">
        <v>11.0</v>
      </c>
      <c r="AB99" s="16">
        <v>1.2272727272727273</v>
      </c>
      <c r="AC99" s="15">
        <v>1.0</v>
      </c>
      <c r="AD99" s="16">
        <f>IFERROR(AC99/AA99,"")</f>
        <v>0.09090909090909091</v>
      </c>
      <c r="AE99" s="16">
        <v>0.7272727272727273</v>
      </c>
      <c r="AF99" s="31">
        <v>8.0</v>
      </c>
      <c r="AG99" s="16">
        <v>0.7272727272727273</v>
      </c>
      <c r="AH99" s="8">
        <v>16.0</v>
      </c>
      <c r="AI99" s="8">
        <v>2.0</v>
      </c>
      <c r="AJ99" s="16">
        <f>IFERROR(AI99/AH99,"")</f>
        <v>0.125</v>
      </c>
      <c r="AK99" s="16">
        <v>0.9609375</v>
      </c>
      <c r="AL99" s="16">
        <v>0.375</v>
      </c>
      <c r="AM99" s="16">
        <v>0.125</v>
      </c>
      <c r="AN99" s="8">
        <v>0.0</v>
      </c>
      <c r="AO99" s="22"/>
      <c r="AP99" s="28">
        <v>234.0</v>
      </c>
      <c r="AQ99" s="26">
        <v>1430.0</v>
      </c>
      <c r="AR99" s="26">
        <v>1130.0</v>
      </c>
      <c r="AS99" s="26">
        <v>1044.0</v>
      </c>
      <c r="AT99" s="26">
        <v>1159.0</v>
      </c>
      <c r="AU99" s="26">
        <v>95.0</v>
      </c>
      <c r="AV99" s="27">
        <v>0.9238938053097345</v>
      </c>
      <c r="AW99" s="26">
        <v>0.0</v>
      </c>
      <c r="AX99" s="26">
        <v>0.0</v>
      </c>
      <c r="AY99" s="26">
        <v>25.0</v>
      </c>
      <c r="AZ99" s="26">
        <v>33.0</v>
      </c>
      <c r="BA99" s="26">
        <v>26.0</v>
      </c>
      <c r="BB99" s="26">
        <v>26.0</v>
      </c>
      <c r="BC99" s="27">
        <v>0.3473684210526316</v>
      </c>
      <c r="BD99" s="26">
        <v>0.0</v>
      </c>
      <c r="BE99" s="26">
        <v>0.0</v>
      </c>
      <c r="BF99" s="26">
        <v>0.0</v>
      </c>
      <c r="BG99" s="26">
        <v>0.0</v>
      </c>
      <c r="BH99" s="26">
        <v>0.0</v>
      </c>
      <c r="BI99" s="26">
        <v>0.0</v>
      </c>
    </row>
    <row r="100" spans="1:1" ht="16.5">
      <c r="A100" s="2"/>
    </row>
    <row r="101" spans="1:2" ht="16.5">
      <c r="A101" s="2"/>
      <c r="B101" s="18" t="s">
        <v>19</v>
      </c>
    </row>
    <row r="102" spans="1:2" ht="16.5">
      <c r="A102" s="2"/>
      <c r="B102" s="19" t="s">
        <v>20</v>
      </c>
    </row>
    <row r="103" spans="1:2" ht="16.5">
      <c r="A103" s="2"/>
      <c r="B103" s="19" t="s">
        <v>40</v>
      </c>
    </row>
    <row r="104" spans="1:2" ht="16.5">
      <c r="A104" s="2"/>
      <c r="B104" s="19" t="s">
        <v>38</v>
      </c>
    </row>
    <row r="105" spans="1:2" ht="16.5">
      <c r="A105" s="2"/>
      <c r="B105" s="19" t="s">
        <v>25</v>
      </c>
    </row>
    <row r="106" spans="1:2" ht="16.5">
      <c r="A106" s="2"/>
      <c r="B106" s="19" t="s">
        <v>21</v>
      </c>
    </row>
    <row r="107" spans="1:2" ht="16.5">
      <c r="A107" s="2"/>
      <c r="B107" s="19" t="s">
        <v>100</v>
      </c>
    </row>
    <row r="108" spans="1:2" ht="16.5">
      <c r="A108" s="2"/>
      <c r="B108" s="19" t="s">
        <v>26</v>
      </c>
    </row>
    <row r="109" spans="1:2" ht="16.5">
      <c r="A109" s="2"/>
      <c r="B109" s="19" t="s">
        <v>22</v>
      </c>
    </row>
    <row r="110" spans="1:2" ht="16.5">
      <c r="A110" s="2"/>
      <c r="B110" s="19" t="s">
        <v>101</v>
      </c>
    </row>
    <row r="111" spans="1:2" ht="16.5">
      <c r="A111" s="2"/>
      <c r="B111" s="19" t="s">
        <v>27</v>
      </c>
    </row>
    <row r="112" spans="1:2" ht="16.5">
      <c r="A112" s="2"/>
      <c r="B112" s="19" t="s">
        <v>29</v>
      </c>
    </row>
    <row r="113" spans="1:2" ht="16.5">
      <c r="A113" s="2"/>
      <c r="B113" s="19" t="s">
        <v>43</v>
      </c>
    </row>
    <row r="114" spans="1:2" ht="16.5">
      <c r="A114" s="2"/>
      <c r="B114" s="19" t="s">
        <v>64</v>
      </c>
    </row>
    <row r="115" spans="1:2" ht="16.5">
      <c r="A115" s="2"/>
      <c r="B115" s="19" t="s">
        <v>68</v>
      </c>
    </row>
    <row r="116" spans="1:2" ht="16.5">
      <c r="A116" s="2"/>
      <c r="B116" s="19" t="s">
        <v>67</v>
      </c>
    </row>
    <row r="117" spans="1:2" ht="16.5">
      <c r="A117" s="2"/>
      <c r="B117" s="19" t="s">
        <v>69</v>
      </c>
    </row>
    <row r="118" spans="1:2" ht="16.5">
      <c r="A118" s="2"/>
      <c r="B118" s="19" t="s">
        <v>70</v>
      </c>
    </row>
    <row r="119" spans="1:2" ht="16.5">
      <c r="A119" s="2"/>
      <c r="B119" s="19" t="s">
        <v>71</v>
      </c>
    </row>
    <row r="120" spans="1:2" ht="16.5">
      <c r="A120" s="2"/>
      <c r="B120" s="19" t="s">
        <v>72</v>
      </c>
    </row>
    <row r="121" spans="1:2" ht="16.5">
      <c r="A121" s="2"/>
      <c r="B121" s="19" t="s">
        <v>73</v>
      </c>
    </row>
    <row r="122" spans="1:2" ht="16.5">
      <c r="A122" s="2"/>
      <c r="B122" s="19" t="s">
        <v>65</v>
      </c>
    </row>
    <row r="123" spans="1:2" ht="16.5">
      <c r="A123" s="2"/>
      <c r="B123" s="19" t="s">
        <v>74</v>
      </c>
    </row>
    <row r="124" spans="1:2" ht="16.5">
      <c r="A124" s="2"/>
      <c r="B124" s="19" t="s">
        <v>75</v>
      </c>
    </row>
    <row r="125" spans="1:2" ht="16.5">
      <c r="A125" s="2"/>
      <c r="B125" s="19" t="s">
        <v>76</v>
      </c>
    </row>
    <row r="126" spans="1:2" ht="16.5">
      <c r="A126" s="2"/>
      <c r="B126" s="19" t="s">
        <v>77</v>
      </c>
    </row>
    <row r="127" spans="1:2" ht="16.5">
      <c r="A127" s="2"/>
      <c r="B127" s="19" t="s">
        <v>78</v>
      </c>
    </row>
    <row r="128" spans="1:2" ht="16.5">
      <c r="A128" s="2"/>
      <c r="B128" s="19" t="s">
        <v>79</v>
      </c>
    </row>
    <row r="129" spans="1:2" ht="16.5">
      <c r="A129" s="2"/>
      <c r="B129" s="19" t="s">
        <v>80</v>
      </c>
    </row>
    <row r="130" spans="1:2" ht="16.5">
      <c r="A130" s="2"/>
      <c r="B130" s="19" t="s">
        <v>66</v>
      </c>
    </row>
    <row r="131" spans="1:2" ht="16.5">
      <c r="A131" s="2"/>
      <c r="B131" s="19" t="s">
        <v>81</v>
      </c>
    </row>
    <row r="132" spans="1:2" ht="16.5">
      <c r="A132" s="2"/>
      <c r="B132" s="19" t="s">
        <v>82</v>
      </c>
    </row>
    <row r="133" spans="1:2" ht="16.5">
      <c r="A133" s="2"/>
      <c r="B133" s="19" t="s">
        <v>83</v>
      </c>
    </row>
    <row r="134" spans="1:2" ht="16.5">
      <c r="A134" s="2"/>
      <c r="B134" s="19" t="s">
        <v>84</v>
      </c>
    </row>
    <row r="135" spans="1:2" ht="16.5">
      <c r="A135" s="2"/>
      <c r="B135" s="19" t="s">
        <v>85</v>
      </c>
    </row>
    <row r="136" spans="1:2" ht="16.5">
      <c r="A136" s="2"/>
      <c r="B136" s="19" t="s">
        <v>86</v>
      </c>
    </row>
    <row r="137" spans="2:2" ht="16.5">
      <c r="B137" s="30" t="s">
        <v>87</v>
      </c>
    </row>
  </sheetData>
  <mergeCells count="11">
    <mergeCell ref="A3:A12"/>
    <mergeCell ref="A14:A99"/>
    <mergeCell ref="B14:B18"/>
    <mergeCell ref="B19:B30"/>
    <mergeCell ref="B31:B43"/>
    <mergeCell ref="B44:B54"/>
    <mergeCell ref="B55:B66"/>
    <mergeCell ref="B67:B75"/>
    <mergeCell ref="B76:B87"/>
    <mergeCell ref="B88:B96"/>
    <mergeCell ref="B97:B99"/>
  </mergeCells>
  <conditionalFormatting sqref="W3:W12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14:W99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12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14:Y99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3:AE12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14:AE99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3:AG12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14:AG99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V3:AV1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4:AV99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3:BC1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14:BC99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新建报表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刘秀芳</cp:lastModifiedBy>
  <dcterms:created xsi:type="dcterms:W3CDTF">2023-09-05T07:42:00Z</dcterms:created>
  <dcterms:modified xsi:type="dcterms:W3CDTF">2026-04-09T03:10:43Z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9615E5FA2A6C41F388E85A21BA1B3ADC_13</vt:lpwstr>
  </property>
  <property fmtid="{D5CDD505-2E9C-101B-9397-08002B2CF9AE}" pid="3" name="KSOProductBuildVer">
    <vt:lpwstr>2052-12.1.0.15374</vt:lpwstr>
  </property>
</Properties>
</file>