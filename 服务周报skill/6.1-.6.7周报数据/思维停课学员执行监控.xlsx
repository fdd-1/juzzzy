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ac38b4db59d4a79bed06c1870469a32" hidden="1" comment="SSRRANGE">Sheet1!$BN$7</definedName>
    <definedName name="_0c1d2359630d470798238b194e297973" hidden="1" comment="SSRRANGE">Sheet1!$AT$18</definedName>
    <definedName name="_0c65b329f34a4f0192259b5a99e19f76" hidden="1" comment="SSRRANGE">Sheet1!$D$18</definedName>
    <definedName name="_0f71bfc0e2d74d9482741b6153a69957" hidden="1" comment="SSRRANGE">Sheet1!$BA$7</definedName>
    <definedName name="_123afd35c51d4e698615075c1d7a8994" hidden="1" comment="SSRRANGE">Sheet1!$AP$7</definedName>
    <definedName name="_1d7b7528da2e4a37964fdd949b554e12" hidden="1" comment="SSRRANGE">Sheet1!$AZ$7</definedName>
    <definedName name="_25805b33c5bf4233b09710ff948ba989" hidden="1" comment="SSRRANGE">Sheet1!$AL$7</definedName>
    <definedName name="_2ac9f7021ee3471d9c0ef1c621ba5b94" hidden="1" comment="SSRRANGE">Sheet1!$V$7</definedName>
    <definedName name="_2c57f66d290c43c199b65357d8a3221a" hidden="1" comment="SSRRANGE">Sheet1!$H$18</definedName>
    <definedName name="_2d54d14aa3b14d509f0dc000303f9002" hidden="1" comment="SSRRANGE">Sheet1!$BB$7</definedName>
    <definedName name="_33e3e32595494915a1b75fd3fc187dac" hidden="1" comment="SSRRANGE">Sheet1!$BK$7</definedName>
    <definedName name="_381895f7206f4e278c8d55c92dfef73e" hidden="1" comment="SSRRANGE">Sheet1!$S$18</definedName>
    <definedName name="_3c24f4bfc4e348f494810fab9307f1ba" hidden="1" comment="SSRRANGE">Sheet1!$BQ$7</definedName>
    <definedName name="_3c6f559d9bf24a81b4ddcb228ca5c05d" hidden="1" comment="SSRRANGE">Sheet1!$B$7</definedName>
    <definedName name="_3f6e154aadff4aec8ae586f75c7a8a3b" hidden="1" comment="SSRRANGE">Sheet1!$BP$7</definedName>
    <definedName name="_42909f7276364af6a438d47d64432dd6" hidden="1" comment="SSRRANGE">Sheet1!$T$18</definedName>
    <definedName name="_444fd26dc9dd4b65a600e4941fd46b23" hidden="1" comment="SSRRANGE">Sheet1!$AB$18</definedName>
    <definedName name="_48d70b554fa74355b3377c88ef9c98ba" hidden="1" comment="SSRRANGE">Sheet1!$BU$7</definedName>
    <definedName name="_4d71bb237c63403387dd13fe950276fc" hidden="1" comment="SSRRANGE">Sheet1!$Z$18</definedName>
    <definedName name="_4f8e18190156476496439dbe2aa5476d" hidden="1" comment="SSRRANGE">Sheet1!$AV$7</definedName>
    <definedName name="_511ec939acc04cb48e5302fdb9577264" hidden="1" comment="SSRRANGE">Sheet1!$AG$18</definedName>
    <definedName name="_57ae1b1a47684c14af825811e166488d" hidden="1" comment="SSRRANGE">Sheet1!$AD$18</definedName>
    <definedName name="_5af1f0c32cfe4ed1aa8f4c7e2e55285e" hidden="1" comment="SSRRANGE">Sheet1!$U$18</definedName>
    <definedName name="_5d52475077264f35a14c4ca92429d4b2" hidden="1" comment="SSRRANGE">Sheet1!$BE$7</definedName>
    <definedName name="_5e037c993bc742ae9ee8f5e331ef2ab1" hidden="1" comment="SSRRANGE">Sheet1!$P$18</definedName>
    <definedName name="_607fadc6389b448fb28afe5b8ca9e2a8" hidden="1" comment="SSRRANGE">Sheet1!$Q$7</definedName>
    <definedName name="_60ec73125fc843b98ea40b959ec7427a" hidden="1" comment="SSRRANGE">Sheet1!$AS$18</definedName>
    <definedName name="_6c9831f67f464d84bf7df671522fb5a6" hidden="1" comment="SSRRANGE">Sheet1!$AW$7</definedName>
    <definedName name="_76c4914679d8460786665f0a6a812a85" hidden="1" comment="SSRRANGE">Sheet1!$BT$7</definedName>
    <definedName name="_78e9ac3c0d2840f1bdd8b1258b239e28" hidden="1" comment="SSRRANGE">Sheet1!$R$7</definedName>
    <definedName name="_7c49efc45be14c3fa6e587c644eb1c80" hidden="1" comment="SSRRANGE">Sheet1!$AQ$7</definedName>
    <definedName name="_7c5fdf6ec79a49809dc16436ad86b823" hidden="1" comment="SSRRANGE">Sheet1!$BH$18</definedName>
    <definedName name="_7f972afb6bd742ae86460344b05ba794" hidden="1" comment="SSRRANGE">Sheet1!$AJ$7</definedName>
    <definedName name="_85f914a623b2449491ad2f10d6c94017" hidden="1" comment="SSRRANGE">Sheet1!$G$18</definedName>
    <definedName name="_86e859d1c5fb45bfa8492355293c02e7" hidden="1" comment="SSRRANGE">Sheet1!$AC$18</definedName>
    <definedName name="_8bf7c68b151a493fb064f6463c13d755" hidden="1" comment="SSRRANGE">Sheet1!$AH$18</definedName>
    <definedName name="_944af70814104415b15e34dad9d19930" hidden="1" comment="SSRRANGE">Sheet1!$AI$18</definedName>
    <definedName name="_9aa07492207d4d9c83bb3aa18d8444d6" hidden="1" comment="SSRRANGE">Sheet1!$BG$18</definedName>
    <definedName name="_a15e0c62d5b24b1187eb74757901d186" hidden="1" comment="SSRRANGE">Sheet1!$BS$18</definedName>
    <definedName name="_a325c3bb5ffd4fc6abd52a7ec0859dea" hidden="1" comment="SSRRANGE">Sheet1!$AR$7</definedName>
    <definedName name="_a9aebc8423314870a082248d2d811454" hidden="1" comment="SSRRANGE">Sheet1!$BR$7</definedName>
    <definedName name="_aa2725d2942f4e0c8270d77da07d9b08" hidden="1" comment="SSRRANGE">Sheet1!$BJ$7</definedName>
    <definedName name="_aa6d56c6ca6c4d9bbcaef1a28fe8b3ae" hidden="1" comment="SSRRANGE">Sheet1!$AX$7</definedName>
    <definedName name="_af3172d2527242649555b57ada21c9a1" hidden="1" comment="SSRRANGE">Sheet1!#REF!</definedName>
    <definedName name="_b002fdeb4cf34035ae4f153be84fb52e" hidden="1" comment="SSRRANGE">Sheet1!$AM$7</definedName>
    <definedName name="_b575b19865254597bebfab0b96c3efc2" hidden="1" comment="SSRRANGE">Sheet1!$AE$18</definedName>
    <definedName name="_c0af2a2564de435c89e23e605017819b" hidden="1" comment="SSRRANGE">Sheet1!$BD$7</definedName>
    <definedName name="_c217e31b1a4141e4b030b1e9ad861818" hidden="1" comment="SSRRANGE">Sheet1!$J$18</definedName>
    <definedName name="_c2bcbf0b571848b18c35a32921ce2f3e" hidden="1" comment="SSRRANGE">Sheet1!$BF$7</definedName>
    <definedName name="_c4e40ce0c906436a9f90780533cd62ea" hidden="1" comment="SSRRANGE">Sheet1!$W$18</definedName>
    <definedName name="_c57c35cbcac74636b6fe66c44f67925f" hidden="1" comment="SSRRANGE">Sheet1!$BM$7</definedName>
    <definedName name="_c6240657bd71429baed161cf20ad2e58" hidden="1" comment="SSRRANGE">Sheet1!$C$7</definedName>
    <definedName name="_c6728d83f1dc4269b684b7ba7e07816f" hidden="1" comment="SSRRANGE">Sheet1!$O$7</definedName>
    <definedName name="_cc71fc34205749ef8250c23aba2bdda1" hidden="1" comment="SSRRANGE">Sheet1!#REF!</definedName>
    <definedName name="_d2280cc70f2746da9459901d8beaecb4" hidden="1" comment="SSRRANGE">Sheet1!$Y$18</definedName>
    <definedName name="_d3f97135beb94b1e82545e8b2f104080" hidden="1" comment="SSRRANGE">Sheet1!$BL$18</definedName>
    <definedName name="_d476a3818a5e4f358662a503023a5ddf" hidden="1" comment="SSRRANGE">Sheet1!$X$18</definedName>
    <definedName name="_d6b43e20fc664907b4bbbee38c987019" hidden="1" comment="SSRRANGE">Sheet1!$AU$18</definedName>
    <definedName name="_dd4634c3cc5d42b0b8ab02832365cd3f" hidden="1" comment="SSRRANGE">Sheet1!$I$18</definedName>
    <definedName name="_e08e72f844b6415ab92cb75065491d00" hidden="1" comment="SSRRANGE">Sheet1!$AF$18</definedName>
    <definedName name="_e52cb061ace14ce68dff63f3586eba19" hidden="1" comment="SSRRANGE">Sheet1!$CD$18</definedName>
    <definedName name="_ec2c2c75d7f74efbba7c05c8096fecf2" hidden="1" comment="SSRRANGE">Sheet1!$BV$7</definedName>
    <definedName name="_ee9335ab493d48989d720199cc7c9095" hidden="1" comment="SSRRANGE">Sheet1!$AN$7</definedName>
    <definedName name="_ef277f388fa641d3bc25052aee471a91" hidden="1" comment="SSRRANGE">Sheet1!$BO$7</definedName>
    <definedName name="_f8df8331516a48feaba1c850ede372cf" hidden="1" comment="SSRRANGE">Sheet1!$BI$18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105" i="1" l="1"/>
</calcChain>
</file>

<file path=xl/sharedStrings.xml><?xml version="1.0" encoding="utf-8"?>
<sst xmlns="http://schemas.openxmlformats.org/spreadsheetml/2006/main" count="239" uniqueCount="172">
  <si>
    <t>lp组别</t>
  </si>
  <si>
    <t>唤醒率</t>
  </si>
  <si>
    <t>停课90天以上唤醒</t>
  </si>
  <si>
    <t>停课数</t>
  </si>
  <si>
    <t>停课占比</t>
  </si>
  <si>
    <t>唤醒数</t>
  </si>
  <si>
    <t>外呼（系统+企微）</t>
  </si>
  <si>
    <t>生均拨打次数</t>
  </si>
  <si>
    <t>企微信息回复率</t>
  </si>
  <si>
    <t>停课90天内唤醒</t>
  </si>
  <si>
    <t>企微信息（含关键词）</t>
  </si>
  <si>
    <t>唤醒人数</t>
  </si>
  <si>
    <t>唤醒率</t>
  </si>
  <si>
    <t>拨打人数</t>
  </si>
  <si>
    <t>拨打人数</t>
  </si>
  <si>
    <t>外呼跟进率</t>
  </si>
  <si>
    <t>外呼跟进率</t>
  </si>
  <si>
    <t>生均拨打次数</t>
  </si>
  <si>
    <t>外呼接通率</t>
  </si>
  <si>
    <t>外呼接通率</t>
  </si>
  <si>
    <t>生均有效通话时长</t>
  </si>
  <si>
    <t>生均有效通话时长</t>
  </si>
  <si>
    <t>生均发微次数</t>
  </si>
  <si>
    <t>高庆兰</t>
  </si>
  <si>
    <t>LP个人</t>
  </si>
  <si>
    <t>刘博</t>
  </si>
  <si>
    <t>开始时间</t>
  </si>
  <si>
    <t>结束时间</t>
  </si>
  <si>
    <t>企微信息回复率</t>
  </si>
  <si>
    <t>口径说明：</t>
  </si>
  <si>
    <t>1）企微信息回复率：发送指定关键词24小时内家长是否有消息回复</t>
  </si>
  <si>
    <t>微信关键词覆盖率</t>
  </si>
  <si>
    <t>当月新增停课人数</t>
  </si>
  <si>
    <t>企微绑定率</t>
  </si>
  <si>
    <t>停课净增长</t>
  </si>
  <si>
    <t>1V1|一对一</t>
  </si>
  <si>
    <t>2026-06-01</t>
  </si>
  <si>
    <t>2026-06-07</t>
  </si>
  <si>
    <t>聊天关键词</t>
  </si>
  <si>
    <t>月初停课人数</t>
  </si>
  <si>
    <t>停课占比目标</t>
  </si>
  <si>
    <t>停课占比</t>
  </si>
  <si>
    <t>有效在读人数</t>
  </si>
  <si>
    <t>停课GAP</t>
  </si>
  <si>
    <t>本月停课唤醒目标学员</t>
  </si>
  <si>
    <t>停课预警学员</t>
  </si>
  <si>
    <t>陈旺梅</t>
  </si>
  <si>
    <t>季晓静</t>
  </si>
  <si>
    <t>月初停课变其他状态</t>
  </si>
  <si>
    <t>1V1推报率</t>
  </si>
  <si>
    <t>1V1推报率</t>
  </si>
  <si>
    <t>郑舒婷</t>
  </si>
  <si>
    <t>洪耀宗</t>
  </si>
  <si>
    <t>李文韬</t>
  </si>
  <si>
    <t>当前实际停课人数</t>
  </si>
  <si>
    <t>阮锦霞</t>
  </si>
  <si>
    <t>当前实际停课执行中学员数</t>
  </si>
  <si>
    <t>执行中学员停课率</t>
  </si>
  <si>
    <t>衰退学员数</t>
  </si>
  <si>
    <t>不可唤醒学员</t>
  </si>
  <si>
    <t>唤醒学员数（本月签到）</t>
  </si>
  <si>
    <t>曾耀达</t>
  </si>
  <si>
    <t>林明怡</t>
  </si>
  <si>
    <t>当月新增停课待唤醒</t>
  </si>
  <si>
    <t>2）微信关键词覆盖：LP发送微信关键词含有复课有礼，回归大礼包的学员数</t>
  </si>
  <si>
    <t>3）1V1推报：LP发送微信关键词含有“1V1”、“一对一”的学员数</t>
  </si>
  <si>
    <t>4）当前实际停课人数： 学员在结束日期前的最后一次正式课上课签到时间，与结束日期相隔30天及以上，且剩余基础课时&gt;0</t>
  </si>
  <si>
    <t>6）执行中学员停课率 = 当前实际停课执行中学员数 / 当前实际停课人数</t>
  </si>
  <si>
    <t>7）停课占比：当前实际停课人数/有效在读人数</t>
  </si>
  <si>
    <t>5）当前实际停课执行中学员数：学员在结束日期前的最后一次正式课上课签到时间，与结束日期相隔30天及以上，且剩余基础课时&gt;0，学员状态 = 执行中</t>
  </si>
  <si>
    <t>本月已排课未复课人数</t>
  </si>
  <si>
    <t>9）本月已排课未复课人数：当前实际停课学员中未唤醒、且本月已排课学员</t>
  </si>
  <si>
    <t>次月复课人数</t>
  </si>
  <si>
    <t>8）停课GAP：当停课占比&gt;停课占比目标，停课GAP =（停课占比 - 停课占比目标）* 有效在读人数，当停课占比&lt;=停课占比目标，停课GAP = 0</t>
  </si>
  <si>
    <t>10）次月复课人数：当前实际停课学员中未唤醒、且本月未排课，次月排课学员</t>
  </si>
  <si>
    <t>11）本月停课唤醒目标学员：月初运营上传学员</t>
  </si>
  <si>
    <t>13）不可唤醒学员：本月停课唤醒目标学员中当前剩余总课时&gt;0，且学员当前状态变更为退费/结课/等班/异常停课/囤课的人数</t>
  </si>
  <si>
    <t>12）衰退学员数：本月停课唤醒目标学员中当前剩余总课时=0的人数</t>
  </si>
  <si>
    <t>14）当月新增停课待唤醒： 学员在结束日期前的最后一次上课时间，与结束日期相隔30天及以上，学员在结束日期前的最后一次上课时间距离结束日期当月1号相隔30天及以下，且学员剩余基础课时&gt;0</t>
  </si>
  <si>
    <t>是否退费挽单</t>
  </si>
  <si>
    <t>15）是否退费挽单：学员最近一次申请停课原因中含退费字样则为是，否则为否</t>
  </si>
  <si>
    <t>退费挽单停课占比</t>
  </si>
  <si>
    <t>当前退费挽单实际停课人数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</si>
  <si>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</si>
  <si>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</si>
  <si>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</si>
  <si>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</si>
  <si>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</si>
  <si>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</si>
  <si>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</si>
  <si>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</si>
  <si>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</si>
  <si>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</si>
  <si>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</si>
  <si>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张海琪</t>
  </si>
  <si>
    <t>梁峻豪</t>
  </si>
  <si>
    <t>罗思情</t>
  </si>
  <si>
    <t>钟洁琳</t>
  </si>
  <si>
    <t>邝仪森</t>
  </si>
  <si>
    <t>温宇豪</t>
  </si>
  <si>
    <t>郑祖惠</t>
  </si>
  <si>
    <t>李颖杰</t>
  </si>
  <si>
    <t>陈慧妍</t>
  </si>
  <si>
    <t>麦美云</t>
  </si>
  <si>
    <t>王凯智</t>
  </si>
  <si>
    <t>赵松彬</t>
  </si>
  <si>
    <t>陈洁丽</t>
  </si>
  <si>
    <t>王一强</t>
  </si>
  <si>
    <t>冼智艺</t>
  </si>
  <si>
    <t>简海玲</t>
  </si>
  <si>
    <t>王柏涛</t>
  </si>
  <si>
    <t>何宛霖</t>
  </si>
  <si>
    <t>庞岚枫</t>
  </si>
  <si>
    <t>王永霞</t>
  </si>
  <si>
    <t>罗庆环</t>
  </si>
  <si>
    <t>刘静然</t>
  </si>
  <si>
    <t>黄玉芹</t>
  </si>
  <si>
    <t>叶汝杰</t>
  </si>
  <si>
    <t>吴嘉雯</t>
  </si>
  <si>
    <t>麦小乐</t>
  </si>
  <si>
    <t>潘小雅</t>
  </si>
  <si>
    <t>林杰聪</t>
  </si>
  <si>
    <t>李佳佳</t>
  </si>
  <si>
    <t>王新宇</t>
  </si>
  <si>
    <t>尤鹤</t>
  </si>
  <si>
    <t>孟瑶</t>
  </si>
  <si>
    <t>杜婷婷</t>
  </si>
  <si>
    <t>芦小珍</t>
  </si>
  <si>
    <t>阮忻妍</t>
  </si>
  <si>
    <t>王路</t>
  </si>
  <si>
    <t>朱肖朋</t>
  </si>
  <si>
    <t>郭欣怡</t>
  </si>
  <si>
    <t>蔡图雅</t>
  </si>
  <si>
    <t>王智文</t>
  </si>
  <si>
    <t>万美美</t>
  </si>
  <si>
    <t>王彦</t>
  </si>
  <si>
    <t>吴迪</t>
  </si>
  <si>
    <t>迟月</t>
  </si>
  <si>
    <t>刘明飞</t>
  </si>
  <si>
    <t>王小苗</t>
  </si>
  <si>
    <t>董筠宜</t>
  </si>
  <si>
    <t>孙鹏飞</t>
  </si>
  <si>
    <t>孙浩</t>
  </si>
  <si>
    <t>于淑艳</t>
  </si>
  <si>
    <t>周子雅</t>
  </si>
  <si>
    <t>王旭</t>
  </si>
  <si>
    <t>石晓杰</t>
  </si>
  <si>
    <t>王爽</t>
  </si>
  <si>
    <t>梁媛</t>
  </si>
  <si>
    <t>李松榕</t>
  </si>
  <si>
    <t>张婷婷</t>
  </si>
  <si>
    <t>冷林鑫</t>
  </si>
  <si>
    <t>刘笑</t>
  </si>
  <si>
    <t>王晨</t>
  </si>
  <si>
    <t>刘宇</t>
  </si>
  <si>
    <t>敖勇</t>
  </si>
  <si>
    <t>刘彤</t>
  </si>
  <si>
    <t>何况</t>
  </si>
  <si>
    <t>郭津池</t>
  </si>
  <si>
    <t>韩明昭</t>
  </si>
  <si>
    <t>张弛</t>
  </si>
  <si>
    <t>田淇</t>
  </si>
  <si>
    <t>曲慧</t>
  </si>
  <si>
    <t>刘丹</t>
  </si>
  <si>
    <t>于卓言</t>
  </si>
  <si>
    <t>李鑫</t>
  </si>
  <si>
    <t>范冉</t>
  </si>
  <si>
    <t>董思雨</t>
  </si>
  <si>
    <t>孙玮</t>
  </si>
  <si>
    <t>齐志昂</t>
  </si>
  <si>
    <t>邓翔睿</t>
  </si>
  <si>
    <t>李欣旭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</si>
</sst>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.00_ "/>
    <numFmt numFmtId="178" formatCode="#,##0_);[Red]\(#,##0\)"/>
  </numFmts>
  <fonts count="6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b/>
      <sz val="10"/>
      <color rgb="FF1F2329"/>
      <name val="等线"/>
      <family val="3"/>
      <charset val="-122"/>
      <scheme val="minor"/>
    </font>
    <font>
      <sz val="10"/>
      <color theme="1"/>
      <name val="等线"/>
      <family val="3"/>
      <charset val="-122"/>
      <scheme val="minor"/>
    </font>
    <font>
      <sz val="10"/>
      <color rgb="FFFFFFFF"/>
      <name val="等线"/>
      <family val="3"/>
      <charset val="-12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theme="7" tint="0.79997998476028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/>
      <bottom/>
    </border>
  </borders>
  <cellStyleXfs count="21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87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0" fontId="3" fillId="2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2" xfId="20" applyNumberFormat="1" applyFont="1" applyBorder="1" applyAlignment="1">
      <alignment horizontal="center" vertical="center"/>
    </xf>
    <xf numFmtId="10" fontId="0" fillId="0" borderId="4" xfId="20" applyNumberFormat="1" applyFont="1" applyBorder="1" applyAlignment="1">
      <alignment horizontal="center" vertical="center"/>
    </xf>
    <xf numFmtId="10" fontId="0" fillId="0" borderId="3" xfId="2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0" fontId="3" fillId="6" borderId="1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176" fontId="3" fillId="9" borderId="1" xfId="0" applyNumberFormat="1" applyFont="1" applyFill="1" applyBorder="1" applyAlignment="1">
      <alignment horizontal="center" vertical="center" wrapText="1"/>
    </xf>
    <xf numFmtId="10" fontId="3" fillId="9" borderId="1" xfId="0" applyNumberFormat="1" applyFont="1" applyFill="1" applyBorder="1" applyAlignment="1">
      <alignment horizontal="center" vertical="center" wrapText="1"/>
    </xf>
    <xf numFmtId="176" fontId="3" fillId="9" borderId="2" xfId="0" applyNumberFormat="1" applyFont="1" applyFill="1" applyBorder="1" applyAlignment="1">
      <alignment horizontal="center" vertical="center" wrapText="1"/>
    </xf>
    <xf numFmtId="176" fontId="3" fillId="9" borderId="7" xfId="0" applyNumberFormat="1" applyFont="1" applyFill="1" applyBorder="1" applyAlignment="1">
      <alignment horizontal="center" vertical="center" wrapText="1"/>
    </xf>
    <xf numFmtId="176" fontId="3" fillId="9" borderId="3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176" fontId="3" fillId="11" borderId="1" xfId="0" applyNumberFormat="1" applyFont="1" applyFill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0" fontId="3" fillId="12" borderId="1" xfId="0" applyNumberFormat="1" applyFont="1" applyFill="1" applyBorder="1" applyAlignment="1">
      <alignment horizontal="center" vertical="center" wrapText="1"/>
    </xf>
    <xf numFmtId="178" fontId="3" fillId="9" borderId="2" xfId="0" applyNumberFormat="1" applyFont="1" applyFill="1" applyBorder="1" applyAlignment="1">
      <alignment horizontal="center" vertical="center" wrapText="1"/>
    </xf>
    <xf numFmtId="178" fontId="3" fillId="9" borderId="7" xfId="0" applyNumberFormat="1" applyFont="1" applyFill="1" applyBorder="1" applyAlignment="1">
      <alignment horizontal="center" vertical="center" wrapText="1"/>
    </xf>
    <xf numFmtId="178" fontId="3" fillId="9" borderId="3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0" fontId="3" fillId="10" borderId="1" xfId="0" applyNumberFormat="1" applyFont="1" applyFill="1" applyBorder="1" applyAlignment="1">
      <alignment horizontal="center" vertical="center" wrapText="1"/>
    </xf>
    <xf numFmtId="176" fontId="3" fillId="10" borderId="2" xfId="0" applyNumberFormat="1" applyFont="1" applyFill="1" applyBorder="1" applyAlignment="1">
      <alignment horizontal="center" vertical="center" wrapText="1"/>
    </xf>
    <xf numFmtId="176" fontId="3" fillId="10" borderId="7" xfId="0" applyNumberFormat="1" applyFont="1" applyFill="1" applyBorder="1" applyAlignment="1">
      <alignment horizontal="center" vertical="center" wrapText="1"/>
    </xf>
    <xf numFmtId="176" fontId="3" fillId="10" borderId="3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76" fontId="3" fillId="11" borderId="2" xfId="0" applyNumberFormat="1" applyFont="1" applyFill="1" applyBorder="1" applyAlignment="1">
      <alignment horizontal="center" vertical="center" wrapText="1"/>
    </xf>
    <xf numFmtId="176" fontId="3" fillId="11" borderId="3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0" fontId="3" fillId="10" borderId="2" xfId="0" applyNumberFormat="1" applyFont="1" applyFill="1" applyBorder="1" applyAlignment="1">
      <alignment horizontal="center" vertical="center" wrapText="1"/>
    </xf>
    <xf numFmtId="10" fontId="3" fillId="10" borderId="7" xfId="0" applyNumberFormat="1" applyFont="1" applyFill="1" applyBorder="1" applyAlignment="1">
      <alignment horizontal="center" vertical="center" wrapText="1"/>
    </xf>
    <xf numFmtId="10" fontId="3" fillId="10" borderId="3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dxfs count="8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/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3239-054A-47CF-BF89-EF194E1DE8F7}">
  <dimension ref="A2:CH122"/>
  <sheetViews>
    <sheetView tabSelected="1" workbookViewId="0" topLeftCell="A1">
      <pane xSplit="3" ySplit="6" topLeftCell="D7" activePane="bottomRight" state="frozen"/>
      <selection pane="topLeft" activeCell="A1" sqref="A1"/>
      <selection pane="bottomLeft" activeCell="A7" sqref="A7"/>
      <selection pane="topRight" activeCell="D1" sqref="D1"/>
      <selection pane="bottomRight" activeCell="L27" sqref="L27"/>
    </sheetView>
  </sheetViews>
  <sheetFormatPr defaultRowHeight="14.25"/>
  <cols>
    <col min="1" max="1" width="7.625" customWidth="1"/>
    <col min="2" max="2" width="10.5" customWidth="1"/>
    <col min="4" max="5" width="8.875" style="5"/>
    <col min="8" max="8" width="10.625" customWidth="1"/>
    <col min="12" max="12" width="11.125" customWidth="1"/>
    <col min="13" max="14" width="9" style="4" customWidth="1"/>
    <col min="15" max="15" width="9" style="4" hidden="1" customWidth="1"/>
    <col min="16" max="16" width="9" style="5" hidden="1" customWidth="1"/>
    <col min="17" max="17" width="9" style="13" hidden="1" customWidth="1"/>
    <col min="18" max="18" width="9" style="4" hidden="1" customWidth="1"/>
    <col min="19" max="20" width="0" hidden="1" customWidth="1"/>
    <col min="21" max="21" width="10.875" customWidth="1"/>
    <col min="22" max="22" width="10.5" customWidth="1"/>
    <col min="24" max="24" width="8.875" customWidth="1"/>
    <col min="26" max="26" width="0" hidden="1" customWidth="1"/>
    <col min="29" max="30" width="9" customWidth="1"/>
    <col min="31" max="33" width="9" hidden="1" customWidth="1"/>
    <col min="34" max="34" width="0" hidden="1" customWidth="1"/>
    <col min="35" max="35" width="0" style="5" hidden="1" customWidth="1"/>
    <col min="37" max="37" width="8.875" style="5"/>
    <col min="38" max="38" width="9" customWidth="1"/>
    <col min="39" max="39" width="8.875" style="5"/>
    <col min="40" max="40" width="0" style="7" hidden="1" customWidth="1"/>
    <col min="41" max="41" width="8.875" style="5"/>
    <col min="42" max="42" width="8.875" style="7"/>
    <col min="43" max="44" width="9" style="5" customWidth="1"/>
    <col min="45" max="45" width="9" style="5" hidden="1" customWidth="1"/>
    <col min="46" max="46" width="8.625" style="7" hidden="1" customWidth="1"/>
    <col min="47" max="47" width="9.5" style="5" hidden="1" customWidth="1"/>
    <col min="48" max="48" width="0" hidden="1" customWidth="1"/>
    <col min="49" max="49" width="0" style="5" hidden="1" customWidth="1"/>
    <col min="51" max="51" width="8.875" style="5"/>
    <col min="52" max="52" width="9" customWidth="1"/>
    <col min="53" max="53" width="8.875" style="5"/>
    <col min="54" max="54" width="0" style="7" hidden="1" customWidth="1"/>
    <col min="55" max="55" width="8.875" style="5"/>
    <col min="56" max="56" width="8.875" style="7"/>
    <col min="57" max="58" width="9" style="5" customWidth="1"/>
    <col min="59" max="59" width="9" style="5" hidden="1" customWidth="1"/>
    <col min="60" max="60" width="8.5" style="7" hidden="1" customWidth="1"/>
    <col min="61" max="61" width="8.875" style="5" hidden="1" customWidth="1"/>
    <col min="62" max="62" width="0" style="4" hidden="1" customWidth="1"/>
    <col min="63" max="63" width="9" hidden="1" customWidth="1"/>
    <col min="65" max="65" width="0" hidden="1" customWidth="1"/>
    <col min="68" max="69" width="9" customWidth="1"/>
    <col min="70" max="72" width="9" hidden="1" customWidth="1"/>
    <col min="73" max="73" width="0" hidden="1" customWidth="1"/>
    <col min="74" max="74" width="9" hidden="1" customWidth="1"/>
    <col min="76" max="76" width="0" hidden="1" customWidth="1"/>
    <col min="79" max="80" width="9" customWidth="1"/>
    <col min="81" max="83" width="9" hidden="1" customWidth="1"/>
    <col min="84" max="85" width="0" hidden="1" customWidth="1"/>
  </cols>
  <sheetData>
    <row r="1" ht="14.25"/>
    <row r="2" spans="2:40" ht="14.25">
      <c r="B2" s="14" t="s">
        <v>26</v>
      </c>
      <c r="C2" s="38" t="s">
        <v>36</v>
      </c>
      <c r="D2" s="38"/>
      <c r="E2" s="73" t="s">
        <v>27</v>
      </c>
      <c r="F2" s="73"/>
      <c r="G2" s="38" t="s">
        <v>37</v>
      </c>
      <c r="H2" s="38"/>
      <c r="I2" s="38" t="s">
        <v>38</v>
      </c>
      <c r="J2" s="38"/>
      <c r="K2" s="67" t="s">
        <v>35</v>
      </c>
      <c r="L2" s="67"/>
      <c r="M2" s="38" t="s">
        <v>79</v>
      </c>
      <c r="N2" s="38"/>
      <c r="P2"/>
      <c r="Q2"/>
      <c r="U2" s="38"/>
      <c r="V2" s="38"/>
      <c r="AH2" s="4"/>
      <c r="AI2" s="38"/>
      <c r="AJ2" s="38"/>
      <c r="AK2" s="38"/>
      <c r="AL2" s="38"/>
      <c r="AM2" s="38"/>
      <c r="AN2" s="38"/>
    </row>
    <row r="3" ht="14.25"/>
    <row r="4" spans="1:86" s="1" customFormat="1" ht="13.15" customHeight="1">
      <c r="A4" s="1"/>
      <c r="B4" s="68" t="s">
        <v>0</v>
      </c>
      <c r="C4" s="68" t="s">
        <v>24</v>
      </c>
      <c r="D4" s="69" t="s">
        <v>40</v>
      </c>
      <c r="E4" s="69" t="s">
        <v>41</v>
      </c>
      <c r="F4" s="83" t="s">
        <v>81</v>
      </c>
      <c r="G4" s="55" t="s">
        <v>42</v>
      </c>
      <c r="H4" s="55" t="s">
        <v>54</v>
      </c>
      <c r="I4" s="70" t="s">
        <v>82</v>
      </c>
      <c r="J4" s="70" t="s">
        <v>56</v>
      </c>
      <c r="K4" s="70" t="s">
        <v>57</v>
      </c>
      <c r="L4" s="55" t="s">
        <v>43</v>
      </c>
      <c r="M4" s="70" t="s">
        <v>70</v>
      </c>
      <c r="N4" s="70" t="s">
        <v>72</v>
      </c>
      <c r="O4" s="47" t="s">
        <v>39</v>
      </c>
      <c r="P4" s="49" t="s">
        <v>48</v>
      </c>
      <c r="Q4" s="47" t="s">
        <v>11</v>
      </c>
      <c r="R4" s="48" t="s">
        <v>12</v>
      </c>
      <c r="S4" s="64" t="s">
        <v>32</v>
      </c>
      <c r="T4" s="49" t="s">
        <v>34</v>
      </c>
      <c r="U4" s="57" t="s">
        <v>44</v>
      </c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9"/>
      <c r="AJ4" s="39" t="s">
        <v>9</v>
      </c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62" t="s">
        <v>2</v>
      </c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44" t="s">
        <v>63</v>
      </c>
      <c r="BM4" s="45"/>
      <c r="BN4" s="45"/>
      <c r="BO4" s="45"/>
      <c r="BP4" s="45"/>
      <c r="BQ4" s="45"/>
      <c r="BR4" s="45"/>
      <c r="BS4" s="45"/>
      <c r="BT4" s="45"/>
      <c r="BU4" s="45"/>
      <c r="BV4" s="46"/>
      <c r="BW4" s="52" t="s">
        <v>45</v>
      </c>
      <c r="BX4" s="53"/>
      <c r="BY4" s="53"/>
      <c r="BZ4" s="53"/>
      <c r="CA4" s="53"/>
      <c r="CB4" s="53"/>
      <c r="CC4" s="53"/>
      <c r="CD4" s="53"/>
      <c r="CE4" s="53"/>
      <c r="CF4" s="53"/>
      <c r="CG4" s="54"/>
      <c r="CH4" s="86">
        <v>111.0</v>
      </c>
    </row>
    <row r="5" spans="1:85" s="1" customFormat="1" ht="13.15" customHeight="1">
      <c r="A5" s="1"/>
      <c r="B5" s="68"/>
      <c r="C5" s="68"/>
      <c r="D5" s="69"/>
      <c r="E5" s="69"/>
      <c r="F5" s="84"/>
      <c r="G5" s="55"/>
      <c r="H5" s="55"/>
      <c r="I5" s="71"/>
      <c r="J5" s="71"/>
      <c r="K5" s="71"/>
      <c r="L5" s="55"/>
      <c r="M5" s="71"/>
      <c r="N5" s="71"/>
      <c r="O5" s="47"/>
      <c r="P5" s="50"/>
      <c r="Q5" s="47"/>
      <c r="R5" s="48"/>
      <c r="S5" s="65"/>
      <c r="T5" s="50"/>
      <c r="U5" s="60" t="s">
        <v>3</v>
      </c>
      <c r="V5" s="74" t="s">
        <v>58</v>
      </c>
      <c r="W5" s="74" t="s">
        <v>59</v>
      </c>
      <c r="X5" s="74" t="s">
        <v>60</v>
      </c>
      <c r="Y5" s="74" t="s">
        <v>12</v>
      </c>
      <c r="Z5" s="82" t="s">
        <v>6</v>
      </c>
      <c r="AA5" s="82"/>
      <c r="AB5" s="82"/>
      <c r="AC5" s="82"/>
      <c r="AD5" s="82"/>
      <c r="AE5" s="41" t="s">
        <v>10</v>
      </c>
      <c r="AF5" s="42"/>
      <c r="AG5" s="42"/>
      <c r="AH5" s="42"/>
      <c r="AI5" s="43"/>
      <c r="AJ5" s="39" t="s">
        <v>3</v>
      </c>
      <c r="AK5" s="40" t="s">
        <v>4</v>
      </c>
      <c r="AL5" s="39" t="s">
        <v>5</v>
      </c>
      <c r="AM5" s="40" t="s">
        <v>1</v>
      </c>
      <c r="AN5" s="79" t="s">
        <v>6</v>
      </c>
      <c r="AO5" s="80"/>
      <c r="AP5" s="80"/>
      <c r="AQ5" s="80"/>
      <c r="AR5" s="81"/>
      <c r="AS5" s="76" t="s">
        <v>10</v>
      </c>
      <c r="AT5" s="77"/>
      <c r="AU5" s="77"/>
      <c r="AV5" s="77"/>
      <c r="AW5" s="78"/>
      <c r="AX5" s="62" t="s">
        <v>3</v>
      </c>
      <c r="AY5" s="63" t="s">
        <v>4</v>
      </c>
      <c r="AZ5" s="62" t="s">
        <v>5</v>
      </c>
      <c r="BA5" s="63" t="s">
        <v>1</v>
      </c>
      <c r="BB5" s="56" t="s">
        <v>6</v>
      </c>
      <c r="BC5" s="56"/>
      <c r="BD5" s="56"/>
      <c r="BE5" s="56"/>
      <c r="BF5" s="56"/>
      <c r="BG5" s="41" t="s">
        <v>10</v>
      </c>
      <c r="BH5" s="42"/>
      <c r="BI5" s="42"/>
      <c r="BJ5" s="42"/>
      <c r="BK5" s="43"/>
      <c r="BL5" s="61" t="s">
        <v>3</v>
      </c>
      <c r="BM5" s="56" t="s">
        <v>6</v>
      </c>
      <c r="BN5" s="56"/>
      <c r="BO5" s="56"/>
      <c r="BP5" s="56"/>
      <c r="BQ5" s="56"/>
      <c r="BR5" s="41" t="s">
        <v>10</v>
      </c>
      <c r="BS5" s="42"/>
      <c r="BT5" s="42"/>
      <c r="BU5" s="42"/>
      <c r="BV5" s="43"/>
      <c r="BW5" s="55" t="s">
        <v>3</v>
      </c>
      <c r="BX5" s="56" t="s">
        <v>6</v>
      </c>
      <c r="BY5" s="56"/>
      <c r="BZ5" s="56"/>
      <c r="CA5" s="56"/>
      <c r="CB5" s="56"/>
      <c r="CC5" s="41" t="s">
        <v>10</v>
      </c>
      <c r="CD5" s="42"/>
      <c r="CE5" s="42"/>
      <c r="CF5" s="42"/>
      <c r="CG5" s="43"/>
    </row>
    <row r="6" spans="1:85" s="1" customFormat="1" ht="25.5">
      <c r="A6" s="1"/>
      <c r="B6" s="68"/>
      <c r="C6" s="68"/>
      <c r="D6" s="69"/>
      <c r="E6" s="69"/>
      <c r="F6" s="85"/>
      <c r="G6" s="55"/>
      <c r="H6" s="55"/>
      <c r="I6" s="72"/>
      <c r="J6" s="72"/>
      <c r="K6" s="72"/>
      <c r="L6" s="55"/>
      <c r="M6" s="72"/>
      <c r="N6" s="72"/>
      <c r="O6" s="47"/>
      <c r="P6" s="51"/>
      <c r="Q6" s="47"/>
      <c r="R6" s="48"/>
      <c r="S6" s="66"/>
      <c r="T6" s="51"/>
      <c r="U6" s="60"/>
      <c r="V6" s="75"/>
      <c r="W6" s="75"/>
      <c r="X6" s="75"/>
      <c r="Y6" s="75"/>
      <c r="Z6" s="35" t="s">
        <v>13</v>
      </c>
      <c r="AA6" s="36" t="s">
        <v>15</v>
      </c>
      <c r="AB6" s="37" t="s">
        <v>7</v>
      </c>
      <c r="AC6" s="36" t="s">
        <v>18</v>
      </c>
      <c r="AD6" s="37" t="s">
        <v>20</v>
      </c>
      <c r="AE6" s="11" t="s">
        <v>31</v>
      </c>
      <c r="AF6" s="11" t="s">
        <v>49</v>
      </c>
      <c r="AG6" s="11" t="s">
        <v>33</v>
      </c>
      <c r="AH6" s="9" t="s">
        <v>22</v>
      </c>
      <c r="AI6" s="11" t="s">
        <v>8</v>
      </c>
      <c r="AJ6" s="39"/>
      <c r="AK6" s="40"/>
      <c r="AL6" s="39"/>
      <c r="AM6" s="40"/>
      <c r="AN6" s="2" t="s">
        <v>14</v>
      </c>
      <c r="AO6" s="6" t="s">
        <v>16</v>
      </c>
      <c r="AP6" s="8" t="s">
        <v>17</v>
      </c>
      <c r="AQ6" s="6" t="s">
        <v>19</v>
      </c>
      <c r="AR6" s="8" t="s">
        <v>21</v>
      </c>
      <c r="AS6" s="11" t="s">
        <v>31</v>
      </c>
      <c r="AT6" s="11" t="s">
        <v>50</v>
      </c>
      <c r="AU6" s="11" t="s">
        <v>33</v>
      </c>
      <c r="AV6" s="9" t="s">
        <v>22</v>
      </c>
      <c r="AW6" s="11" t="s">
        <v>28</v>
      </c>
      <c r="AX6" s="62"/>
      <c r="AY6" s="63"/>
      <c r="AZ6" s="62"/>
      <c r="BA6" s="63"/>
      <c r="BB6" s="3" t="s">
        <v>13</v>
      </c>
      <c r="BC6" s="10" t="s">
        <v>15</v>
      </c>
      <c r="BD6" s="12" t="s">
        <v>7</v>
      </c>
      <c r="BE6" s="10" t="s">
        <v>18</v>
      </c>
      <c r="BF6" s="12" t="s">
        <v>20</v>
      </c>
      <c r="BG6" s="11" t="s">
        <v>31</v>
      </c>
      <c r="BH6" s="11" t="s">
        <v>50</v>
      </c>
      <c r="BI6" s="11" t="s">
        <v>33</v>
      </c>
      <c r="BJ6" s="9" t="s">
        <v>22</v>
      </c>
      <c r="BK6" s="11" t="s">
        <v>8</v>
      </c>
      <c r="BL6" s="61"/>
      <c r="BM6" s="3" t="s">
        <v>13</v>
      </c>
      <c r="BN6" s="10" t="s">
        <v>15</v>
      </c>
      <c r="BO6" s="12" t="s">
        <v>7</v>
      </c>
      <c r="BP6" s="10" t="s">
        <v>18</v>
      </c>
      <c r="BQ6" s="12" t="s">
        <v>20</v>
      </c>
      <c r="BR6" s="11" t="s">
        <v>31</v>
      </c>
      <c r="BS6" s="11" t="s">
        <v>50</v>
      </c>
      <c r="BT6" s="11" t="s">
        <v>33</v>
      </c>
      <c r="BU6" s="9" t="s">
        <v>22</v>
      </c>
      <c r="BV6" s="11" t="s">
        <v>8</v>
      </c>
      <c r="BW6" s="55"/>
      <c r="BX6" s="3" t="s">
        <v>13</v>
      </c>
      <c r="BY6" s="10" t="s">
        <v>15</v>
      </c>
      <c r="BZ6" s="12" t="s">
        <v>7</v>
      </c>
      <c r="CA6" s="10" t="s">
        <v>18</v>
      </c>
      <c r="CB6" s="12" t="s">
        <v>20</v>
      </c>
      <c r="CC6" s="11" t="s">
        <v>31</v>
      </c>
      <c r="CD6" s="11" t="s">
        <v>49</v>
      </c>
      <c r="CE6" s="11" t="s">
        <v>33</v>
      </c>
      <c r="CF6" s="9" t="s">
        <v>22</v>
      </c>
      <c r="CG6" s="11" t="s">
        <v>8</v>
      </c>
    </row>
    <row r="7" spans="1:85" s="14" customFormat="1" ht="18.6" customHeight="1">
      <c r="A7" s="14"/>
      <c r="B7" s="15" t="s">
        <v>83</v>
      </c>
      <c r="C7" s="15" t="s">
        <v>84</v>
      </c>
      <c r="D7" s="16">
        <v>0.06</v>
      </c>
      <c r="E7" s="16">
        <f>IFERROR(H7/G7,"")</f>
        <v>0.07122405153901216</v>
      </c>
      <c r="F7" s="16">
        <f>IFERROR(I7/G7,"")</f>
        <v>4.772130756382725E-4</v>
      </c>
      <c r="G7" s="15">
        <v>25146.0</v>
      </c>
      <c r="H7" s="17">
        <v>1791.0</v>
      </c>
      <c r="I7" s="17">
        <v>12.0</v>
      </c>
      <c r="J7" s="17">
        <v>332.0</v>
      </c>
      <c r="K7" s="32">
        <f>J7/H7</f>
        <v>0.1853713009491904</v>
      </c>
      <c r="L7" s="15">
        <f>IF(E7-D7&lt;0,0,CEILING((E7-D7)*G7,1))</f>
        <v>283.0</v>
      </c>
      <c r="M7" s="18">
        <v>148.0</v>
      </c>
      <c r="N7" s="18">
        <v>5.0</v>
      </c>
      <c r="O7" s="17"/>
      <c r="P7" s="17"/>
      <c r="Q7" s="17"/>
      <c r="R7" s="16"/>
      <c r="S7" s="18"/>
      <c r="T7" s="31"/>
      <c r="U7" s="17">
        <v>562.0</v>
      </c>
      <c r="V7" s="17">
        <v>1.0</v>
      </c>
      <c r="W7" s="17">
        <v>0.0</v>
      </c>
      <c r="X7" s="17">
        <v>33.0</v>
      </c>
      <c r="Y7" s="32">
        <v>0.05871886120996441</v>
      </c>
      <c r="Z7" s="15">
        <v>331.0</v>
      </c>
      <c r="AA7" s="16">
        <f>IFERROR(Z7/U7,"")</f>
        <v>0.5889679715302492</v>
      </c>
      <c r="AB7" s="19">
        <v>1.3987915407854985</v>
      </c>
      <c r="AC7" s="16">
        <v>0.047516198704103674</v>
      </c>
      <c r="AD7" s="19">
        <v>5.840151515151516</v>
      </c>
      <c r="AE7" s="16">
        <v>0.0017793594306049821</v>
      </c>
      <c r="AF7" s="16">
        <v>0.0017793594306049821</v>
      </c>
      <c r="AG7" s="16">
        <v>0.8202846975088968</v>
      </c>
      <c r="AH7" s="19">
        <v>1.0</v>
      </c>
      <c r="AI7" s="16">
        <v>1.0</v>
      </c>
      <c r="AJ7" s="15">
        <v>456.0</v>
      </c>
      <c r="AK7" s="16">
        <f>IFERROR(AJ7/U7,"")</f>
        <v>0.8113879003558719</v>
      </c>
      <c r="AL7" s="15">
        <v>29.0</v>
      </c>
      <c r="AM7" s="16">
        <v>0.06359649122807018</v>
      </c>
      <c r="AN7" s="15">
        <v>272.0</v>
      </c>
      <c r="AO7" s="16">
        <f>IFERROR(AN7/AJ7,"")</f>
        <v>0.5964912280701754</v>
      </c>
      <c r="AP7" s="19">
        <v>1.400735294117647</v>
      </c>
      <c r="AQ7" s="16">
        <v>0.05249343832020997</v>
      </c>
      <c r="AR7" s="19">
        <v>5.990000000000001</v>
      </c>
      <c r="AS7" s="16">
        <v>0.0021929824561403508</v>
      </c>
      <c r="AT7" s="16">
        <v>0.0021929824561403508</v>
      </c>
      <c r="AU7" s="16">
        <v>0.8135964912280702</v>
      </c>
      <c r="AV7" s="19">
        <v>1.0</v>
      </c>
      <c r="AW7" s="16">
        <v>1.0</v>
      </c>
      <c r="AX7" s="15">
        <v>106.0</v>
      </c>
      <c r="AY7" s="16">
        <f>IFERROR(AX7/U7,"")</f>
        <v>0.18861209964412812</v>
      </c>
      <c r="AZ7" s="15">
        <v>4.0</v>
      </c>
      <c r="BA7" s="16">
        <v>0.03773584905660377</v>
      </c>
      <c r="BB7" s="15">
        <v>59.0</v>
      </c>
      <c r="BC7" s="16">
        <f>IFERROR(BB7/AX7,"")</f>
        <v>0.5566037735849056</v>
      </c>
      <c r="BD7" s="19">
        <v>1.3898305084745763</v>
      </c>
      <c r="BE7" s="16">
        <v>0.024390243902439025</v>
      </c>
      <c r="BF7" s="19">
        <v>4.341666666666667</v>
      </c>
      <c r="BG7" s="16">
        <v>0.0</v>
      </c>
      <c r="BH7" s="16">
        <v>0.0</v>
      </c>
      <c r="BI7" s="16">
        <v>0.8490566037735849</v>
      </c>
      <c r="BJ7" s="19"/>
      <c r="BK7" s="16"/>
      <c r="BL7" s="17">
        <v>58.0</v>
      </c>
      <c r="BM7" s="15">
        <v>17.0</v>
      </c>
      <c r="BN7" s="16">
        <f>IFERROR(BM7/BL7,"")</f>
        <v>0.29310344827586204</v>
      </c>
      <c r="BO7" s="19">
        <v>1.1176470588235294</v>
      </c>
      <c r="BP7" s="16">
        <v>0.15789473684210525</v>
      </c>
      <c r="BQ7" s="19">
        <v>5.375</v>
      </c>
      <c r="BR7" s="16">
        <v>0.0</v>
      </c>
      <c r="BS7" s="16">
        <v>0.0</v>
      </c>
      <c r="BT7" s="16">
        <v>0.7931034482758621</v>
      </c>
      <c r="BU7" s="19"/>
      <c r="BV7" s="16"/>
      <c r="BW7" s="17">
        <v>1121.0</v>
      </c>
      <c r="BX7" s="15">
        <v>368.0</v>
      </c>
      <c r="BY7" s="16">
        <f>IFERROR(BX7/BW7,"")</f>
        <v>0.328278322925959</v>
      </c>
      <c r="BZ7" s="19">
        <v>1.423913043478261</v>
      </c>
      <c r="CA7" s="16">
        <v>0.1049618320610687</v>
      </c>
      <c r="CB7" s="19">
        <v>4.679245283018869</v>
      </c>
      <c r="CC7" s="16">
        <v>0.001784121320249777</v>
      </c>
      <c r="CD7" s="16">
        <v>0.001784121320249777</v>
      </c>
      <c r="CE7" s="16">
        <v>0.8198037466547725</v>
      </c>
      <c r="CF7" s="19">
        <v>1.0</v>
      </c>
      <c r="CG7" s="16">
        <v>0.0</v>
      </c>
    </row>
    <row r="8" spans="1:85" s="14" customFormat="1" ht="18.6" customHeight="1">
      <c r="A8" s="14"/>
      <c r="B8" s="15" t="s">
        <v>85</v>
      </c>
      <c r="C8" s="15" t="s">
        <v>84</v>
      </c>
      <c r="D8" s="16"/>
      <c r="E8" s="16">
        <f>IFERROR(H8/G8,"")</f>
        <v>0.02627511591962906</v>
      </c>
      <c r="F8" s="16">
        <f>IFERROR(I8/G8,"")</f>
        <v>0.0</v>
      </c>
      <c r="G8" s="15">
        <v>1294.0</v>
      </c>
      <c r="H8" s="17">
        <v>34.0</v>
      </c>
      <c r="I8" s="17">
        <v>0.0</v>
      </c>
      <c r="J8" s="17">
        <v>10.0</v>
      </c>
      <c r="K8" s="32">
        <f>J8/H8</f>
        <v>0.29411764705882354</v>
      </c>
      <c r="L8" s="15">
        <f>IF(E8-D8&lt;0,0,CEILING((E8-D8)*G8,1))</f>
        <v>34.0</v>
      </c>
      <c r="M8" s="18">
        <v>9.0</v>
      </c>
      <c r="N8" s="18">
        <v>0.0</v>
      </c>
      <c r="O8" s="17"/>
      <c r="P8" s="17"/>
      <c r="Q8" s="17"/>
      <c r="R8" s="16"/>
      <c r="S8" s="18"/>
      <c r="T8" s="31"/>
      <c r="U8" s="17">
        <v>23.0</v>
      </c>
      <c r="V8" s="17">
        <v>0.0</v>
      </c>
      <c r="W8" s="17">
        <v>0.0</v>
      </c>
      <c r="X8" s="17">
        <v>2.0</v>
      </c>
      <c r="Y8" s="32">
        <v>0.08695652173913043</v>
      </c>
      <c r="Z8" s="15">
        <v>11.0</v>
      </c>
      <c r="AA8" s="16">
        <f>IFERROR(Z8/U8,"")</f>
        <v>0.4782608695652174</v>
      </c>
      <c r="AB8" s="19">
        <v>1.1818181818181819</v>
      </c>
      <c r="AC8" s="16">
        <v>0.15384615384615385</v>
      </c>
      <c r="AD8" s="19">
        <v>6.083333333333334</v>
      </c>
      <c r="AE8" s="16">
        <v>0.0</v>
      </c>
      <c r="AF8" s="16">
        <v>0.0</v>
      </c>
      <c r="AG8" s="16">
        <v>0.08695652173913043</v>
      </c>
      <c r="AH8" s="19"/>
      <c r="AI8" s="16"/>
      <c r="AJ8" s="15">
        <v>19.0</v>
      </c>
      <c r="AK8" s="16">
        <f>IFERROR(AJ8/U8,"")</f>
        <v>0.8260869565217391</v>
      </c>
      <c r="AL8" s="15">
        <v>1.0</v>
      </c>
      <c r="AM8" s="16">
        <v>0.05263157894736842</v>
      </c>
      <c r="AN8" s="15">
        <v>8.0</v>
      </c>
      <c r="AO8" s="16">
        <f>IFERROR(AN8/AJ8,"")</f>
        <v>0.42105263157894735</v>
      </c>
      <c r="AP8" s="19">
        <v>1.125</v>
      </c>
      <c r="AQ8" s="16">
        <v>0.1111111111111111</v>
      </c>
      <c r="AR8" s="19">
        <v>9.683333333333334</v>
      </c>
      <c r="AS8" s="16">
        <v>0.0</v>
      </c>
      <c r="AT8" s="16">
        <v>0.0</v>
      </c>
      <c r="AU8" s="16">
        <v>0.05263157894736842</v>
      </c>
      <c r="AV8" s="19"/>
      <c r="AW8" s="16"/>
      <c r="AX8" s="15">
        <v>4.0</v>
      </c>
      <c r="AY8" s="16">
        <f>IFERROR(AX8/U8,"")</f>
        <v>0.17391304347826086</v>
      </c>
      <c r="AZ8" s="15">
        <v>1.0</v>
      </c>
      <c r="BA8" s="16">
        <v>0.25</v>
      </c>
      <c r="BB8" s="15">
        <v>3.0</v>
      </c>
      <c r="BC8" s="16">
        <f>IFERROR(BB8/AX8,"")</f>
        <v>0.75</v>
      </c>
      <c r="BD8" s="19">
        <v>1.3333333333333333</v>
      </c>
      <c r="BE8" s="16">
        <v>0.25</v>
      </c>
      <c r="BF8" s="19">
        <v>2.4833333333333334</v>
      </c>
      <c r="BG8" s="16">
        <v>0.0</v>
      </c>
      <c r="BH8" s="16">
        <v>0.0</v>
      </c>
      <c r="BI8" s="16">
        <v>0.25</v>
      </c>
      <c r="BJ8" s="19"/>
      <c r="BK8" s="16"/>
      <c r="BL8" s="17">
        <v>2.0</v>
      </c>
      <c r="BM8" s="15">
        <v>1.0</v>
      </c>
      <c r="BN8" s="16">
        <f>IFERROR(BM8/BL8,"")</f>
        <v>0.5</v>
      </c>
      <c r="BO8" s="19">
        <v>1.0</v>
      </c>
      <c r="BP8" s="16">
        <v>0.0</v>
      </c>
      <c r="BQ8" s="19"/>
      <c r="BR8" s="16">
        <v>0.0</v>
      </c>
      <c r="BS8" s="16">
        <v>0.0</v>
      </c>
      <c r="BT8" s="16">
        <v>0.0</v>
      </c>
      <c r="BU8" s="19"/>
      <c r="BV8" s="16"/>
      <c r="BW8" s="17">
        <v>33.0</v>
      </c>
      <c r="BX8" s="15">
        <v>10.0</v>
      </c>
      <c r="BY8" s="16">
        <f>IFERROR(BX8/BW8,"")</f>
        <v>0.30303030303030304</v>
      </c>
      <c r="BZ8" s="19">
        <v>1.5</v>
      </c>
      <c r="CA8" s="16">
        <v>0.3333333333333333</v>
      </c>
      <c r="CB8" s="19">
        <v>5.2666666666666675</v>
      </c>
      <c r="CC8" s="16">
        <v>0.0</v>
      </c>
      <c r="CD8" s="16">
        <v>0.0</v>
      </c>
      <c r="CE8" s="16">
        <v>0.15151515151515152</v>
      </c>
      <c r="CF8" s="19"/>
      <c r="CG8" s="16"/>
    </row>
    <row r="9" spans="1:85" s="14" customFormat="1" ht="18.6" customHeight="1">
      <c r="A9" s="14"/>
      <c r="B9" s="15" t="s">
        <v>86</v>
      </c>
      <c r="C9" s="15" t="s">
        <v>84</v>
      </c>
      <c r="D9" s="16"/>
      <c r="E9" s="16">
        <f>IFERROR(H9/G9,"")</f>
        <v>0.05659734060688715</v>
      </c>
      <c r="F9" s="16">
        <f>IFERROR(I9/G9,"")</f>
        <v>0.0</v>
      </c>
      <c r="G9" s="15">
        <v>2933.0</v>
      </c>
      <c r="H9" s="17">
        <v>166.0</v>
      </c>
      <c r="I9" s="17">
        <v>0.0</v>
      </c>
      <c r="J9" s="17">
        <v>52.0</v>
      </c>
      <c r="K9" s="32">
        <f>J9/H9</f>
        <v>0.3132530120481928</v>
      </c>
      <c r="L9" s="15">
        <f>IF(E9-D9&lt;0,0,CEILING((E9-D9)*G9,1))</f>
        <v>166.0</v>
      </c>
      <c r="M9" s="18">
        <v>18.0</v>
      </c>
      <c r="N9" s="18">
        <v>0.0</v>
      </c>
      <c r="O9" s="17"/>
      <c r="P9" s="17"/>
      <c r="Q9" s="17"/>
      <c r="R9" s="16"/>
      <c r="S9" s="18"/>
      <c r="T9" s="31"/>
      <c r="U9" s="17">
        <v>70.0</v>
      </c>
      <c r="V9" s="17">
        <v>0.0</v>
      </c>
      <c r="W9" s="17">
        <v>0.0</v>
      </c>
      <c r="X9" s="17">
        <v>3.0</v>
      </c>
      <c r="Y9" s="32">
        <v>0.04285714285714286</v>
      </c>
      <c r="Z9" s="15">
        <v>37.0</v>
      </c>
      <c r="AA9" s="16">
        <f>IFERROR(Z9/U9,"")</f>
        <v>0.5285714285714286</v>
      </c>
      <c r="AB9" s="19">
        <v>1.4054054054054055</v>
      </c>
      <c r="AC9" s="16">
        <v>0.057692307692307696</v>
      </c>
      <c r="AD9" s="19">
        <v>3.8555555555555556</v>
      </c>
      <c r="AE9" s="16">
        <v>0.0</v>
      </c>
      <c r="AF9" s="16">
        <v>0.0</v>
      </c>
      <c r="AG9" s="16">
        <v>0.8</v>
      </c>
      <c r="AH9" s="19"/>
      <c r="AI9" s="16"/>
      <c r="AJ9" s="15">
        <v>57.0</v>
      </c>
      <c r="AK9" s="16">
        <f>IFERROR(AJ9/U9,"")</f>
        <v>0.8142857142857143</v>
      </c>
      <c r="AL9" s="15">
        <v>3.0</v>
      </c>
      <c r="AM9" s="16">
        <v>0.05263157894736842</v>
      </c>
      <c r="AN9" s="15">
        <v>32.0</v>
      </c>
      <c r="AO9" s="16">
        <f>IFERROR(AN9/AJ9,"")</f>
        <v>0.5614035087719298</v>
      </c>
      <c r="AP9" s="19">
        <v>1.4375</v>
      </c>
      <c r="AQ9" s="16">
        <v>0.06521739130434782</v>
      </c>
      <c r="AR9" s="19">
        <v>3.8555555555555556</v>
      </c>
      <c r="AS9" s="16">
        <v>0.0</v>
      </c>
      <c r="AT9" s="16">
        <v>0.0</v>
      </c>
      <c r="AU9" s="16">
        <v>0.8070175438596491</v>
      </c>
      <c r="AV9" s="19"/>
      <c r="AW9" s="16"/>
      <c r="AX9" s="15">
        <v>13.0</v>
      </c>
      <c r="AY9" s="16">
        <f>IFERROR(AX9/U9,"")</f>
        <v>0.18571428571428572</v>
      </c>
      <c r="AZ9" s="15">
        <v>0.0</v>
      </c>
      <c r="BA9" s="16">
        <v>0.0</v>
      </c>
      <c r="BB9" s="15">
        <v>5.0</v>
      </c>
      <c r="BC9" s="16">
        <f>IFERROR(BB9/AX9,"")</f>
        <v>0.38461538461538464</v>
      </c>
      <c r="BD9" s="19">
        <v>1.2</v>
      </c>
      <c r="BE9" s="16">
        <v>0.0</v>
      </c>
      <c r="BF9" s="19"/>
      <c r="BG9" s="16">
        <v>0.0</v>
      </c>
      <c r="BH9" s="16">
        <v>0.0</v>
      </c>
      <c r="BI9" s="16">
        <v>0.7692307692307693</v>
      </c>
      <c r="BJ9" s="19"/>
      <c r="BK9" s="16"/>
      <c r="BL9" s="17">
        <v>9.0</v>
      </c>
      <c r="BM9" s="15">
        <v>5.0</v>
      </c>
      <c r="BN9" s="16">
        <f>IFERROR(BM9/BL9,"")</f>
        <v>0.5555555555555556</v>
      </c>
      <c r="BO9" s="19">
        <v>1.0</v>
      </c>
      <c r="BP9" s="16">
        <v>0.0</v>
      </c>
      <c r="BQ9" s="19"/>
      <c r="BR9" s="16">
        <v>0.0</v>
      </c>
      <c r="BS9" s="16">
        <v>0.0</v>
      </c>
      <c r="BT9" s="16">
        <v>0.7777777777777778</v>
      </c>
      <c r="BU9" s="19"/>
      <c r="BV9" s="16"/>
      <c r="BW9" s="17">
        <v>116.0</v>
      </c>
      <c r="BX9" s="15">
        <v>70.0</v>
      </c>
      <c r="BY9" s="16">
        <f>IFERROR(BX9/BW9,"")</f>
        <v>0.603448275862069</v>
      </c>
      <c r="BZ9" s="19">
        <v>1.4</v>
      </c>
      <c r="CA9" s="16">
        <v>0.12244897959183673</v>
      </c>
      <c r="CB9" s="19">
        <v>4.908333333333334</v>
      </c>
      <c r="CC9" s="16">
        <v>0.0</v>
      </c>
      <c r="CD9" s="16">
        <v>0.0</v>
      </c>
      <c r="CE9" s="16">
        <v>0.8275862068965517</v>
      </c>
      <c r="CF9" s="19"/>
      <c r="CG9" s="16"/>
    </row>
    <row r="10" spans="1:85" s="14" customFormat="1" ht="18.6" customHeight="1">
      <c r="A10" s="14"/>
      <c r="B10" s="15" t="s">
        <v>87</v>
      </c>
      <c r="C10" s="15" t="s">
        <v>84</v>
      </c>
      <c r="D10" s="16"/>
      <c r="E10" s="16">
        <f>IFERROR(H10/G10,"")</f>
        <v>0.05813514533786335</v>
      </c>
      <c r="F10" s="16">
        <f>IFERROR(I10/G10,"")</f>
        <v>3.7750094375235937E-4</v>
      </c>
      <c r="G10" s="15">
        <v>2649.0</v>
      </c>
      <c r="H10" s="17">
        <v>154.0</v>
      </c>
      <c r="I10" s="17">
        <v>1.0</v>
      </c>
      <c r="J10" s="17">
        <v>32.0</v>
      </c>
      <c r="K10" s="32">
        <f>J10/H10</f>
        <v>0.2077922077922078</v>
      </c>
      <c r="L10" s="15">
        <f>IF(E10-D10&lt;0,0,CEILING((E10-D10)*G10,1))</f>
        <v>154.0</v>
      </c>
      <c r="M10" s="18">
        <v>13.0</v>
      </c>
      <c r="N10" s="18">
        <v>0.0</v>
      </c>
      <c r="O10" s="17"/>
      <c r="P10" s="17"/>
      <c r="Q10" s="17"/>
      <c r="R10" s="16"/>
      <c r="S10" s="18"/>
      <c r="T10" s="31"/>
      <c r="U10" s="17">
        <v>48.0</v>
      </c>
      <c r="V10" s="17">
        <v>0.0</v>
      </c>
      <c r="W10" s="17">
        <v>0.0</v>
      </c>
      <c r="X10" s="17">
        <v>1.0</v>
      </c>
      <c r="Y10" s="32">
        <v>0.020833333333333332</v>
      </c>
      <c r="Z10" s="15">
        <v>13.0</v>
      </c>
      <c r="AA10" s="16">
        <f>IFERROR(Z10/U10,"")</f>
        <v>0.2708333333333333</v>
      </c>
      <c r="AB10" s="19">
        <v>1.4615384615384615</v>
      </c>
      <c r="AC10" s="16">
        <v>0.15789473684210525</v>
      </c>
      <c r="AD10" s="19">
        <v>1.9722222222222223</v>
      </c>
      <c r="AE10" s="16">
        <v>0.0</v>
      </c>
      <c r="AF10" s="16">
        <v>0.0</v>
      </c>
      <c r="AG10" s="16">
        <v>0.7916666666666666</v>
      </c>
      <c r="AH10" s="19"/>
      <c r="AI10" s="16"/>
      <c r="AJ10" s="15">
        <v>42.0</v>
      </c>
      <c r="AK10" s="16">
        <f>IFERROR(AJ10/U10,"")</f>
        <v>0.875</v>
      </c>
      <c r="AL10" s="15">
        <v>1.0</v>
      </c>
      <c r="AM10" s="16">
        <v>0.023809523809523808</v>
      </c>
      <c r="AN10" s="15">
        <v>13.0</v>
      </c>
      <c r="AO10" s="16">
        <f>IFERROR(AN10/AJ10,"")</f>
        <v>0.30952380952380953</v>
      </c>
      <c r="AP10" s="19">
        <v>1.4615384615384615</v>
      </c>
      <c r="AQ10" s="16">
        <v>0.15789473684210525</v>
      </c>
      <c r="AR10" s="19">
        <v>1.9722222222222223</v>
      </c>
      <c r="AS10" s="16">
        <v>0.0</v>
      </c>
      <c r="AT10" s="16">
        <v>0.0</v>
      </c>
      <c r="AU10" s="16">
        <v>0.7619047619047619</v>
      </c>
      <c r="AV10" s="19"/>
      <c r="AW10" s="16"/>
      <c r="AX10" s="15">
        <v>6.0</v>
      </c>
      <c r="AY10" s="16">
        <f>IFERROR(AX10/U10,"")</f>
        <v>0.125</v>
      </c>
      <c r="AZ10" s="15">
        <v>0.0</v>
      </c>
      <c r="BA10" s="16">
        <v>0.0</v>
      </c>
      <c r="BB10" s="15">
        <v>0.0</v>
      </c>
      <c r="BC10" s="16">
        <f>IFERROR(BB10/AX10,"")</f>
        <v>0.0</v>
      </c>
      <c r="BD10" s="19"/>
      <c r="BE10" s="16"/>
      <c r="BF10" s="19"/>
      <c r="BG10" s="16">
        <v>0.0</v>
      </c>
      <c r="BH10" s="16">
        <v>0.0</v>
      </c>
      <c r="BI10" s="16">
        <v>1.0</v>
      </c>
      <c r="BJ10" s="19"/>
      <c r="BK10" s="16"/>
      <c r="BL10" s="17">
        <v>5.0</v>
      </c>
      <c r="BM10" s="15">
        <v>0.0</v>
      </c>
      <c r="BN10" s="16">
        <f>IFERROR(BM10/BL10,"")</f>
        <v>0.0</v>
      </c>
      <c r="BO10" s="19"/>
      <c r="BP10" s="16"/>
      <c r="BQ10" s="19"/>
      <c r="BR10" s="16">
        <v>0.0</v>
      </c>
      <c r="BS10" s="16">
        <v>0.0</v>
      </c>
      <c r="BT10" s="16">
        <v>0.8</v>
      </c>
      <c r="BU10" s="19"/>
      <c r="BV10" s="16"/>
      <c r="BW10" s="17">
        <v>89.0</v>
      </c>
      <c r="BX10" s="15">
        <v>48.0</v>
      </c>
      <c r="BY10" s="16">
        <f>IFERROR(BX10/BW10,"")</f>
        <v>0.5393258426966292</v>
      </c>
      <c r="BZ10" s="19">
        <v>1.375</v>
      </c>
      <c r="CA10" s="16">
        <v>0.045454545454545456</v>
      </c>
      <c r="CB10" s="19">
        <v>1.8777777777777775</v>
      </c>
      <c r="CC10" s="16">
        <v>0.011235955056179775</v>
      </c>
      <c r="CD10" s="16">
        <v>0.011235955056179775</v>
      </c>
      <c r="CE10" s="16">
        <v>0.8089887640449438</v>
      </c>
      <c r="CF10" s="19">
        <v>1.0</v>
      </c>
      <c r="CG10" s="16">
        <v>0.0</v>
      </c>
    </row>
    <row r="11" spans="1:85" s="14" customFormat="1" ht="18.6" customHeight="1">
      <c r="A11" s="14"/>
      <c r="B11" s="15" t="s">
        <v>88</v>
      </c>
      <c r="C11" s="15" t="s">
        <v>84</v>
      </c>
      <c r="D11" s="16"/>
      <c r="E11" s="16">
        <f>IFERROR(H11/G11,"")</f>
        <v>0.06701807228915663</v>
      </c>
      <c r="F11" s="16">
        <f>IFERROR(I11/G11,"")</f>
        <v>7.530120481927711E-4</v>
      </c>
      <c r="G11" s="15">
        <v>2656.0</v>
      </c>
      <c r="H11" s="17">
        <v>178.0</v>
      </c>
      <c r="I11" s="17">
        <v>2.0</v>
      </c>
      <c r="J11" s="17">
        <v>46.0</v>
      </c>
      <c r="K11" s="32">
        <f>J11/H11</f>
        <v>0.25842696629213485</v>
      </c>
      <c r="L11" s="15">
        <f>IF(E11-D11&lt;0,0,CEILING((E11-D11)*G11,1))</f>
        <v>178.0</v>
      </c>
      <c r="M11" s="18">
        <v>19.0</v>
      </c>
      <c r="N11" s="18">
        <v>1.0</v>
      </c>
      <c r="O11" s="17"/>
      <c r="P11" s="17"/>
      <c r="Q11" s="17"/>
      <c r="R11" s="16"/>
      <c r="S11" s="18"/>
      <c r="T11" s="31"/>
      <c r="U11" s="17">
        <v>67.0</v>
      </c>
      <c r="V11" s="17">
        <v>1.0</v>
      </c>
      <c r="W11" s="17">
        <v>0.0</v>
      </c>
      <c r="X11" s="17">
        <v>4.0</v>
      </c>
      <c r="Y11" s="32">
        <v>0.05970149253731343</v>
      </c>
      <c r="Z11" s="15">
        <v>43.0</v>
      </c>
      <c r="AA11" s="16">
        <f>IFERROR(Z11/U11,"")</f>
        <v>0.6417910447761194</v>
      </c>
      <c r="AB11" s="19">
        <v>1.372093023255814</v>
      </c>
      <c r="AC11" s="16">
        <v>0.03389830508474576</v>
      </c>
      <c r="AD11" s="19">
        <v>2.65</v>
      </c>
      <c r="AE11" s="16">
        <v>0.014925373134328358</v>
      </c>
      <c r="AF11" s="16">
        <v>0.014925373134328358</v>
      </c>
      <c r="AG11" s="16">
        <v>0.8208955223880597</v>
      </c>
      <c r="AH11" s="19">
        <v>1.0</v>
      </c>
      <c r="AI11" s="16">
        <v>1.0</v>
      </c>
      <c r="AJ11" s="15">
        <v>54.0</v>
      </c>
      <c r="AK11" s="16">
        <f>IFERROR(AJ11/U11,"")</f>
        <v>0.8059701492537313</v>
      </c>
      <c r="AL11" s="15">
        <v>4.0</v>
      </c>
      <c r="AM11" s="16">
        <v>0.07407407407407407</v>
      </c>
      <c r="AN11" s="15">
        <v>35.0</v>
      </c>
      <c r="AO11" s="16">
        <f>IFERROR(AN11/AJ11,"")</f>
        <v>0.6481481481481481</v>
      </c>
      <c r="AP11" s="19">
        <v>1.4285714285714286</v>
      </c>
      <c r="AQ11" s="16">
        <v>0.04</v>
      </c>
      <c r="AR11" s="19">
        <v>2.65</v>
      </c>
      <c r="AS11" s="16">
        <v>0.018518518518518517</v>
      </c>
      <c r="AT11" s="16">
        <v>0.018518518518518517</v>
      </c>
      <c r="AU11" s="16">
        <v>0.7962962962962963</v>
      </c>
      <c r="AV11" s="19">
        <v>1.0</v>
      </c>
      <c r="AW11" s="16">
        <v>1.0</v>
      </c>
      <c r="AX11" s="15">
        <v>13.0</v>
      </c>
      <c r="AY11" s="16">
        <f>IFERROR(AX11/U11,"")</f>
        <v>0.19402985074626866</v>
      </c>
      <c r="AZ11" s="15">
        <v>0.0</v>
      </c>
      <c r="BA11" s="16">
        <v>0.0</v>
      </c>
      <c r="BB11" s="15">
        <v>8.0</v>
      </c>
      <c r="BC11" s="16">
        <f>IFERROR(BB11/AX11,"")</f>
        <v>0.6153846153846154</v>
      </c>
      <c r="BD11" s="19">
        <v>1.125</v>
      </c>
      <c r="BE11" s="16">
        <v>0.0</v>
      </c>
      <c r="BF11" s="19"/>
      <c r="BG11" s="16">
        <v>0.0</v>
      </c>
      <c r="BH11" s="16">
        <v>0.0</v>
      </c>
      <c r="BI11" s="16">
        <v>0.9230769230769231</v>
      </c>
      <c r="BJ11" s="19"/>
      <c r="BK11" s="16"/>
      <c r="BL11" s="17">
        <v>2.0</v>
      </c>
      <c r="BM11" s="15">
        <v>0.0</v>
      </c>
      <c r="BN11" s="16">
        <f>IFERROR(BM11/BL11,"")</f>
        <v>0.0</v>
      </c>
      <c r="BO11" s="19"/>
      <c r="BP11" s="16"/>
      <c r="BQ11" s="19"/>
      <c r="BR11" s="16">
        <v>0.0</v>
      </c>
      <c r="BS11" s="16">
        <v>0.0</v>
      </c>
      <c r="BT11" s="16">
        <v>1.0</v>
      </c>
      <c r="BU11" s="19"/>
      <c r="BV11" s="16"/>
      <c r="BW11" s="17">
        <v>117.0</v>
      </c>
      <c r="BX11" s="15">
        <v>57.0</v>
      </c>
      <c r="BY11" s="16">
        <f>IFERROR(BX11/BW11,"")</f>
        <v>0.48717948717948717</v>
      </c>
      <c r="BZ11" s="19">
        <v>1.2982456140350878</v>
      </c>
      <c r="CA11" s="16">
        <v>0.06756756756756757</v>
      </c>
      <c r="CB11" s="19">
        <v>4.943333333333333</v>
      </c>
      <c r="CC11" s="16">
        <v>0.0</v>
      </c>
      <c r="CD11" s="16">
        <v>0.0</v>
      </c>
      <c r="CE11" s="16">
        <v>0.7350427350427351</v>
      </c>
      <c r="CF11" s="19"/>
      <c r="CG11" s="16"/>
    </row>
    <row r="12" spans="1:85" s="14" customFormat="1" ht="18.6" customHeight="1">
      <c r="A12" s="14"/>
      <c r="B12" s="15" t="s">
        <v>89</v>
      </c>
      <c r="C12" s="15" t="s">
        <v>84</v>
      </c>
      <c r="D12" s="16"/>
      <c r="E12" s="16">
        <f>IFERROR(H12/G12,"")</f>
        <v>0.08537672759696835</v>
      </c>
      <c r="F12" s="16">
        <f>IFERROR(I12/G12,"")</f>
        <v>0.0011145786892554615</v>
      </c>
      <c r="G12" s="15">
        <v>4486.0</v>
      </c>
      <c r="H12" s="17">
        <v>383.0</v>
      </c>
      <c r="I12" s="17">
        <v>5.0</v>
      </c>
      <c r="J12" s="17">
        <v>64.0</v>
      </c>
      <c r="K12" s="32">
        <f>J12/H12</f>
        <v>0.1671018276762402</v>
      </c>
      <c r="L12" s="15">
        <f>IF(E12-D12&lt;0,0,CEILING((E12-D12)*G12,1))</f>
        <v>383.0</v>
      </c>
      <c r="M12" s="18">
        <v>28.0</v>
      </c>
      <c r="N12" s="18">
        <v>1.0</v>
      </c>
      <c r="O12" s="17"/>
      <c r="P12" s="17"/>
      <c r="Q12" s="17"/>
      <c r="R12" s="16"/>
      <c r="S12" s="18"/>
      <c r="T12" s="31"/>
      <c r="U12" s="17">
        <v>118.0</v>
      </c>
      <c r="V12" s="17">
        <v>0.0</v>
      </c>
      <c r="W12" s="17">
        <v>0.0</v>
      </c>
      <c r="X12" s="17">
        <v>10.0</v>
      </c>
      <c r="Y12" s="32">
        <v>0.0847457627118644</v>
      </c>
      <c r="Z12" s="15">
        <v>71.0</v>
      </c>
      <c r="AA12" s="16">
        <f>IFERROR(Z12/U12,"")</f>
        <v>0.6016949152542372</v>
      </c>
      <c r="AB12" s="19">
        <v>1.6619718309859155</v>
      </c>
      <c r="AC12" s="16">
        <v>0.025423728813559324</v>
      </c>
      <c r="AD12" s="19">
        <v>4.638888888888889</v>
      </c>
      <c r="AE12" s="16">
        <v>0.0</v>
      </c>
      <c r="AF12" s="16">
        <v>0.0</v>
      </c>
      <c r="AG12" s="16">
        <v>0.8728813559322034</v>
      </c>
      <c r="AH12" s="19"/>
      <c r="AI12" s="16"/>
      <c r="AJ12" s="15">
        <v>93.0</v>
      </c>
      <c r="AK12" s="16">
        <f>IFERROR(AJ12/U12,"")</f>
        <v>0.788135593220339</v>
      </c>
      <c r="AL12" s="15">
        <v>9.0</v>
      </c>
      <c r="AM12" s="16">
        <v>0.0967741935483871</v>
      </c>
      <c r="AN12" s="15">
        <v>59.0</v>
      </c>
      <c r="AO12" s="16">
        <f>IFERROR(AN12/AJ12,"")</f>
        <v>0.6344086021505376</v>
      </c>
      <c r="AP12" s="19">
        <v>1.5932203389830508</v>
      </c>
      <c r="AQ12" s="16">
        <v>0.02127659574468085</v>
      </c>
      <c r="AR12" s="19">
        <v>3.8583333333333334</v>
      </c>
      <c r="AS12" s="16">
        <v>0.0</v>
      </c>
      <c r="AT12" s="16">
        <v>0.0</v>
      </c>
      <c r="AU12" s="16">
        <v>0.8709677419354839</v>
      </c>
      <c r="AV12" s="19"/>
      <c r="AW12" s="16"/>
      <c r="AX12" s="15">
        <v>25.0</v>
      </c>
      <c r="AY12" s="16">
        <f>IFERROR(AX12/U12,"")</f>
        <v>0.211864406779661</v>
      </c>
      <c r="AZ12" s="15">
        <v>1.0</v>
      </c>
      <c r="BA12" s="16">
        <v>0.04</v>
      </c>
      <c r="BB12" s="15">
        <v>12.0</v>
      </c>
      <c r="BC12" s="16">
        <f>IFERROR(BB12/AX12,"")</f>
        <v>0.48</v>
      </c>
      <c r="BD12" s="19">
        <v>2.0</v>
      </c>
      <c r="BE12" s="16">
        <v>0.041666666666666664</v>
      </c>
      <c r="BF12" s="19">
        <v>6.2</v>
      </c>
      <c r="BG12" s="16">
        <v>0.0</v>
      </c>
      <c r="BH12" s="16">
        <v>0.0</v>
      </c>
      <c r="BI12" s="16">
        <v>0.88</v>
      </c>
      <c r="BJ12" s="19"/>
      <c r="BK12" s="16"/>
      <c r="BL12" s="17">
        <v>16.0</v>
      </c>
      <c r="BM12" s="15">
        <v>8.0</v>
      </c>
      <c r="BN12" s="16">
        <f>IFERROR(BM12/BL12,"")</f>
        <v>0.5</v>
      </c>
      <c r="BO12" s="19">
        <v>1.25</v>
      </c>
      <c r="BP12" s="16">
        <v>0.3</v>
      </c>
      <c r="BQ12" s="19">
        <v>5.375</v>
      </c>
      <c r="BR12" s="16">
        <v>0.0</v>
      </c>
      <c r="BS12" s="16">
        <v>0.0</v>
      </c>
      <c r="BT12" s="16">
        <v>0.6875</v>
      </c>
      <c r="BU12" s="19"/>
      <c r="BV12" s="16"/>
      <c r="BW12" s="17">
        <v>220.0</v>
      </c>
      <c r="BX12" s="15">
        <v>64.0</v>
      </c>
      <c r="BY12" s="16">
        <f>IFERROR(BX12/BW12,"")</f>
        <v>0.2909090909090909</v>
      </c>
      <c r="BZ12" s="19">
        <v>1.1875</v>
      </c>
      <c r="CA12" s="16">
        <v>0.14473684210526316</v>
      </c>
      <c r="CB12" s="19">
        <v>4.184848484848485</v>
      </c>
      <c r="CC12" s="16">
        <v>0.0</v>
      </c>
      <c r="CD12" s="16">
        <v>0.0</v>
      </c>
      <c r="CE12" s="16">
        <v>0.8181818181818182</v>
      </c>
      <c r="CF12" s="19"/>
      <c r="CG12" s="16"/>
    </row>
    <row r="13" spans="1:85" s="14" customFormat="1" ht="18.6" customHeight="1">
      <c r="A13" s="14"/>
      <c r="B13" s="15" t="s">
        <v>90</v>
      </c>
      <c r="C13" s="15" t="s">
        <v>84</v>
      </c>
      <c r="D13" s="16"/>
      <c r="E13" s="16">
        <f>IFERROR(H13/G13,"")</f>
        <v>0.08348567946374162</v>
      </c>
      <c r="F13" s="16">
        <f>IFERROR(I13/G13,"")</f>
        <v>3.046922608165753E-4</v>
      </c>
      <c r="G13" s="15">
        <v>3282.0</v>
      </c>
      <c r="H13" s="17">
        <v>274.0</v>
      </c>
      <c r="I13" s="17">
        <v>1.0</v>
      </c>
      <c r="J13" s="17">
        <v>57.0</v>
      </c>
      <c r="K13" s="32">
        <f>J13/H13</f>
        <v>0.20802919708029197</v>
      </c>
      <c r="L13" s="15">
        <f>IF(E13-D13&lt;0,0,CEILING((E13-D13)*G13,1))</f>
        <v>274.0</v>
      </c>
      <c r="M13" s="18">
        <v>28.0</v>
      </c>
      <c r="N13" s="18">
        <v>1.0</v>
      </c>
      <c r="O13" s="17"/>
      <c r="P13" s="17"/>
      <c r="Q13" s="17"/>
      <c r="R13" s="16"/>
      <c r="S13" s="18"/>
      <c r="T13" s="31"/>
      <c r="U13" s="17">
        <v>78.0</v>
      </c>
      <c r="V13" s="17">
        <v>0.0</v>
      </c>
      <c r="W13" s="17">
        <v>0.0</v>
      </c>
      <c r="X13" s="17">
        <v>4.0</v>
      </c>
      <c r="Y13" s="32">
        <v>0.05128205128205128</v>
      </c>
      <c r="Z13" s="15">
        <v>48.0</v>
      </c>
      <c r="AA13" s="16">
        <f>IFERROR(Z13/U13,"")</f>
        <v>0.6153846153846154</v>
      </c>
      <c r="AB13" s="19">
        <v>1.3958333333333333</v>
      </c>
      <c r="AC13" s="16">
        <v>0.08955223880597014</v>
      </c>
      <c r="AD13" s="19">
        <v>10.980555555555554</v>
      </c>
      <c r="AE13" s="16">
        <v>0.0</v>
      </c>
      <c r="AF13" s="16">
        <v>0.0</v>
      </c>
      <c r="AG13" s="16">
        <v>0.8589743589743589</v>
      </c>
      <c r="AH13" s="19"/>
      <c r="AI13" s="16"/>
      <c r="AJ13" s="15">
        <v>65.0</v>
      </c>
      <c r="AK13" s="16">
        <f>IFERROR(AJ13/U13,"")</f>
        <v>0.8333333333333334</v>
      </c>
      <c r="AL13" s="15">
        <v>4.0</v>
      </c>
      <c r="AM13" s="16">
        <v>0.06153846153846154</v>
      </c>
      <c r="AN13" s="15">
        <v>42.0</v>
      </c>
      <c r="AO13" s="16">
        <f>IFERROR(AN13/AJ13,"")</f>
        <v>0.6461538461538462</v>
      </c>
      <c r="AP13" s="19">
        <v>1.4285714285714286</v>
      </c>
      <c r="AQ13" s="16">
        <v>0.1</v>
      </c>
      <c r="AR13" s="19">
        <v>10.980555555555554</v>
      </c>
      <c r="AS13" s="16">
        <v>0.0</v>
      </c>
      <c r="AT13" s="16">
        <v>0.0</v>
      </c>
      <c r="AU13" s="16">
        <v>0.8461538461538461</v>
      </c>
      <c r="AV13" s="19"/>
      <c r="AW13" s="16"/>
      <c r="AX13" s="15">
        <v>13.0</v>
      </c>
      <c r="AY13" s="16">
        <f>IFERROR(AX13/U13,"")</f>
        <v>0.16666666666666666</v>
      </c>
      <c r="AZ13" s="15">
        <v>0.0</v>
      </c>
      <c r="BA13" s="16">
        <v>0.0</v>
      </c>
      <c r="BB13" s="15">
        <v>6.0</v>
      </c>
      <c r="BC13" s="16">
        <f>IFERROR(BB13/AX13,"")</f>
        <v>0.46153846153846156</v>
      </c>
      <c r="BD13" s="19">
        <v>1.1666666666666667</v>
      </c>
      <c r="BE13" s="16">
        <v>0.0</v>
      </c>
      <c r="BF13" s="19"/>
      <c r="BG13" s="16">
        <v>0.0</v>
      </c>
      <c r="BH13" s="16">
        <v>0.0</v>
      </c>
      <c r="BI13" s="16">
        <v>0.9230769230769231</v>
      </c>
      <c r="BJ13" s="19"/>
      <c r="BK13" s="16"/>
      <c r="BL13" s="17">
        <v>6.0</v>
      </c>
      <c r="BM13" s="15">
        <v>1.0</v>
      </c>
      <c r="BN13" s="16">
        <f>IFERROR(BM13/BL13,"")</f>
        <v>0.16666666666666666</v>
      </c>
      <c r="BO13" s="19">
        <v>1.0</v>
      </c>
      <c r="BP13" s="16">
        <v>0.0</v>
      </c>
      <c r="BQ13" s="19"/>
      <c r="BR13" s="16">
        <v>0.0</v>
      </c>
      <c r="BS13" s="16">
        <v>0.0</v>
      </c>
      <c r="BT13" s="16">
        <v>1.0</v>
      </c>
      <c r="BU13" s="19"/>
      <c r="BV13" s="16"/>
      <c r="BW13" s="17">
        <v>162.0</v>
      </c>
      <c r="BX13" s="15">
        <v>42.0</v>
      </c>
      <c r="BY13" s="16">
        <f>IFERROR(BX13/BW13,"")</f>
        <v>0.25925925925925924</v>
      </c>
      <c r="BZ13" s="19">
        <v>1.8095238095238095</v>
      </c>
      <c r="CA13" s="16">
        <v>0.09210526315789473</v>
      </c>
      <c r="CB13" s="19">
        <v>4.785714285714286</v>
      </c>
      <c r="CC13" s="16">
        <v>0.006172839506172839</v>
      </c>
      <c r="CD13" s="16">
        <v>0.006172839506172839</v>
      </c>
      <c r="CE13" s="16">
        <v>0.8888888888888888</v>
      </c>
      <c r="CF13" s="19">
        <v>1.0</v>
      </c>
      <c r="CG13" s="16">
        <v>0.0</v>
      </c>
    </row>
    <row r="14" spans="1:85" s="14" customFormat="1" ht="18.6" customHeight="1">
      <c r="A14" s="14"/>
      <c r="B14" s="15" t="s">
        <v>91</v>
      </c>
      <c r="C14" s="15" t="s">
        <v>84</v>
      </c>
      <c r="D14" s="16"/>
      <c r="E14" s="16">
        <f>IFERROR(H14/G14,"")</f>
        <v>0.08862463540498093</v>
      </c>
      <c r="F14" s="16">
        <f>IFERROR(I14/G14,"")</f>
        <v>4.487323311644604E-4</v>
      </c>
      <c r="G14" s="15">
        <v>4457.0</v>
      </c>
      <c r="H14" s="17">
        <v>395.0</v>
      </c>
      <c r="I14" s="17">
        <v>2.0</v>
      </c>
      <c r="J14" s="17">
        <v>44.0</v>
      </c>
      <c r="K14" s="32">
        <f>J14/H14</f>
        <v>0.11139240506329114</v>
      </c>
      <c r="L14" s="15">
        <f>IF(E14-D14&lt;0,0,CEILING((E14-D14)*G14,1))</f>
        <v>395.0</v>
      </c>
      <c r="M14" s="18">
        <v>18.0</v>
      </c>
      <c r="N14" s="18">
        <v>2.0</v>
      </c>
      <c r="O14" s="17"/>
      <c r="P14" s="17"/>
      <c r="Q14" s="17"/>
      <c r="R14" s="16"/>
      <c r="S14" s="18"/>
      <c r="T14" s="31"/>
      <c r="U14" s="17">
        <v>105.0</v>
      </c>
      <c r="V14" s="17">
        <v>0.0</v>
      </c>
      <c r="W14" s="17">
        <v>0.0</v>
      </c>
      <c r="X14" s="17">
        <v>4.0</v>
      </c>
      <c r="Y14" s="32">
        <v>0.0380952380952381</v>
      </c>
      <c r="Z14" s="15">
        <v>74.0</v>
      </c>
      <c r="AA14" s="16">
        <f>IFERROR(Z14/U14,"")</f>
        <v>0.7047619047619048</v>
      </c>
      <c r="AB14" s="19">
        <v>1.2972972972972974</v>
      </c>
      <c r="AC14" s="16">
        <v>0.020833333333333332</v>
      </c>
      <c r="AD14" s="19">
        <v>5.166666666666666</v>
      </c>
      <c r="AE14" s="16">
        <v>0.0</v>
      </c>
      <c r="AF14" s="16">
        <v>0.0</v>
      </c>
      <c r="AG14" s="16">
        <v>0.8952380952380953</v>
      </c>
      <c r="AH14" s="19"/>
      <c r="AI14" s="16"/>
      <c r="AJ14" s="15">
        <v>83.0</v>
      </c>
      <c r="AK14" s="16">
        <f>IFERROR(AJ14/U14,"")</f>
        <v>0.7904761904761904</v>
      </c>
      <c r="AL14" s="15">
        <v>3.0</v>
      </c>
      <c r="AM14" s="16">
        <v>0.03614457831325301</v>
      </c>
      <c r="AN14" s="15">
        <v>57.0</v>
      </c>
      <c r="AO14" s="16">
        <f>IFERROR(AN14/AJ14,"")</f>
        <v>0.6867469879518072</v>
      </c>
      <c r="AP14" s="19">
        <v>1.3157894736842106</v>
      </c>
      <c r="AQ14" s="16">
        <v>0.02666666666666667</v>
      </c>
      <c r="AR14" s="19">
        <v>5.166666666666666</v>
      </c>
      <c r="AS14" s="16">
        <v>0.0</v>
      </c>
      <c r="AT14" s="16">
        <v>0.0</v>
      </c>
      <c r="AU14" s="16">
        <v>0.9036144578313253</v>
      </c>
      <c r="AV14" s="19"/>
      <c r="AW14" s="16"/>
      <c r="AX14" s="15">
        <v>22.0</v>
      </c>
      <c r="AY14" s="16">
        <f>IFERROR(AX14/U14,"")</f>
        <v>0.20952380952380953</v>
      </c>
      <c r="AZ14" s="15">
        <v>1.0</v>
      </c>
      <c r="BA14" s="16">
        <v>0.045454545454545456</v>
      </c>
      <c r="BB14" s="15">
        <v>17.0</v>
      </c>
      <c r="BC14" s="16">
        <f>IFERROR(BB14/AX14,"")</f>
        <v>0.7727272727272727</v>
      </c>
      <c r="BD14" s="19">
        <v>1.2352941176470589</v>
      </c>
      <c r="BE14" s="16">
        <v>0.0</v>
      </c>
      <c r="BF14" s="19"/>
      <c r="BG14" s="16">
        <v>0.0</v>
      </c>
      <c r="BH14" s="16">
        <v>0.0</v>
      </c>
      <c r="BI14" s="16">
        <v>0.8636363636363636</v>
      </c>
      <c r="BJ14" s="19"/>
      <c r="BK14" s="16"/>
      <c r="BL14" s="17">
        <v>10.0</v>
      </c>
      <c r="BM14" s="15">
        <v>2.0</v>
      </c>
      <c r="BN14" s="16">
        <f>IFERROR(BM14/BL14,"")</f>
        <v>0.2</v>
      </c>
      <c r="BO14" s="19">
        <v>1.0</v>
      </c>
      <c r="BP14" s="16">
        <v>0.0</v>
      </c>
      <c r="BQ14" s="19"/>
      <c r="BR14" s="16">
        <v>0.0</v>
      </c>
      <c r="BS14" s="16">
        <v>0.0</v>
      </c>
      <c r="BT14" s="16">
        <v>0.8</v>
      </c>
      <c r="BU14" s="19"/>
      <c r="BV14" s="16"/>
      <c r="BW14" s="17">
        <v>206.0</v>
      </c>
      <c r="BX14" s="15">
        <v>39.0</v>
      </c>
      <c r="BY14" s="16">
        <f>IFERROR(BX14/BW14,"")</f>
        <v>0.18932038834951456</v>
      </c>
      <c r="BZ14" s="19">
        <v>1.5897435897435896</v>
      </c>
      <c r="CA14" s="16">
        <v>0.11290322580645161</v>
      </c>
      <c r="CB14" s="19">
        <v>5.964285714285715</v>
      </c>
      <c r="CC14" s="16">
        <v>0.0</v>
      </c>
      <c r="CD14" s="16">
        <v>0.0</v>
      </c>
      <c r="CE14" s="16">
        <v>0.8640776699029126</v>
      </c>
      <c r="CF14" s="19"/>
      <c r="CG14" s="16"/>
    </row>
    <row r="15" spans="1:85" s="14" customFormat="1" ht="18.6" customHeight="1">
      <c r="A15" s="14"/>
      <c r="B15" s="15" t="s">
        <v>92</v>
      </c>
      <c r="C15" s="15" t="s">
        <v>84</v>
      </c>
      <c r="D15" s="16"/>
      <c r="E15" s="16">
        <f>IFERROR(H15/G15,"")</f>
        <v>0.06046689628779181</v>
      </c>
      <c r="F15" s="16">
        <f>IFERROR(I15/G15,"")</f>
        <v>3.827018752391887E-4</v>
      </c>
      <c r="G15" s="15">
        <v>2613.0</v>
      </c>
      <c r="H15" s="17">
        <v>158.0</v>
      </c>
      <c r="I15" s="17">
        <v>1.0</v>
      </c>
      <c r="J15" s="17">
        <v>23.0</v>
      </c>
      <c r="K15" s="32">
        <f>J15/H15</f>
        <v>0.14556962025316456</v>
      </c>
      <c r="L15" s="15">
        <f>IF(E15-D15&lt;0,0,CEILING((E15-D15)*G15,1))</f>
        <v>158.0</v>
      </c>
      <c r="M15" s="18">
        <v>13.0</v>
      </c>
      <c r="N15" s="18">
        <v>0.0</v>
      </c>
      <c r="O15" s="17"/>
      <c r="P15" s="17"/>
      <c r="Q15" s="17"/>
      <c r="R15" s="16"/>
      <c r="S15" s="18"/>
      <c r="T15" s="31"/>
      <c r="U15" s="17">
        <v>43.0</v>
      </c>
      <c r="V15" s="17">
        <v>0.0</v>
      </c>
      <c r="W15" s="17">
        <v>0.0</v>
      </c>
      <c r="X15" s="17">
        <v>5.0</v>
      </c>
      <c r="Y15" s="32">
        <v>0.11627906976744186</v>
      </c>
      <c r="Z15" s="15">
        <v>26.0</v>
      </c>
      <c r="AA15" s="16">
        <f>IFERROR(Z15/U15,"")</f>
        <v>0.6046511627906976</v>
      </c>
      <c r="AB15" s="19">
        <v>1.1923076923076923</v>
      </c>
      <c r="AC15" s="16">
        <v>0.0</v>
      </c>
      <c r="AD15" s="19"/>
      <c r="AE15" s="16">
        <v>0.0</v>
      </c>
      <c r="AF15" s="16">
        <v>0.0</v>
      </c>
      <c r="AG15" s="16">
        <v>0.8837209302325582</v>
      </c>
      <c r="AH15" s="19"/>
      <c r="AI15" s="16"/>
      <c r="AJ15" s="15">
        <v>33.0</v>
      </c>
      <c r="AK15" s="16">
        <f>IFERROR(AJ15/U15,"")</f>
        <v>0.7674418604651163</v>
      </c>
      <c r="AL15" s="15">
        <v>4.0</v>
      </c>
      <c r="AM15" s="16">
        <v>0.12121212121212122</v>
      </c>
      <c r="AN15" s="15">
        <v>18.0</v>
      </c>
      <c r="AO15" s="16">
        <f>IFERROR(AN15/AJ15,"")</f>
        <v>0.5454545454545454</v>
      </c>
      <c r="AP15" s="19">
        <v>1.1111111111111112</v>
      </c>
      <c r="AQ15" s="16">
        <v>0.0</v>
      </c>
      <c r="AR15" s="19"/>
      <c r="AS15" s="16">
        <v>0.0</v>
      </c>
      <c r="AT15" s="16">
        <v>0.0</v>
      </c>
      <c r="AU15" s="16">
        <v>0.9090909090909091</v>
      </c>
      <c r="AV15" s="19"/>
      <c r="AW15" s="16"/>
      <c r="AX15" s="15">
        <v>10.0</v>
      </c>
      <c r="AY15" s="16">
        <f>IFERROR(AX15/U15,"")</f>
        <v>0.23255813953488372</v>
      </c>
      <c r="AZ15" s="15">
        <v>1.0</v>
      </c>
      <c r="BA15" s="16">
        <v>0.1</v>
      </c>
      <c r="BB15" s="15">
        <v>8.0</v>
      </c>
      <c r="BC15" s="16">
        <f>IFERROR(BB15/AX15,"")</f>
        <v>0.8</v>
      </c>
      <c r="BD15" s="19">
        <v>1.375</v>
      </c>
      <c r="BE15" s="16">
        <v>0.0</v>
      </c>
      <c r="BF15" s="19"/>
      <c r="BG15" s="16">
        <v>0.0</v>
      </c>
      <c r="BH15" s="16">
        <v>0.0</v>
      </c>
      <c r="BI15" s="16">
        <v>0.8</v>
      </c>
      <c r="BJ15" s="19"/>
      <c r="BK15" s="16"/>
      <c r="BL15" s="17">
        <v>5.0</v>
      </c>
      <c r="BM15" s="15">
        <v>0.0</v>
      </c>
      <c r="BN15" s="16">
        <f>IFERROR(BM15/BL15,"")</f>
        <v>0.0</v>
      </c>
      <c r="BO15" s="19"/>
      <c r="BP15" s="16"/>
      <c r="BQ15" s="19"/>
      <c r="BR15" s="16">
        <v>0.0</v>
      </c>
      <c r="BS15" s="16">
        <v>0.0</v>
      </c>
      <c r="BT15" s="16">
        <v>1.0</v>
      </c>
      <c r="BU15" s="19"/>
      <c r="BV15" s="16"/>
      <c r="BW15" s="17">
        <v>130.0</v>
      </c>
      <c r="BX15" s="15">
        <v>24.0</v>
      </c>
      <c r="BY15" s="16">
        <f>IFERROR(BX15/BW15,"")</f>
        <v>0.18461538461538463</v>
      </c>
      <c r="BZ15" s="19">
        <v>1.2916666666666667</v>
      </c>
      <c r="CA15" s="16">
        <v>0.0</v>
      </c>
      <c r="CB15" s="19"/>
      <c r="CC15" s="16">
        <v>0.0</v>
      </c>
      <c r="CD15" s="16">
        <v>0.0</v>
      </c>
      <c r="CE15" s="16">
        <v>0.8846153846153846</v>
      </c>
      <c r="CF15" s="19"/>
      <c r="CG15" s="16"/>
    </row>
    <row r="16" spans="1:85" s="14" customFormat="1" ht="18.6" customHeight="1">
      <c r="A16" s="14"/>
      <c r="B16" s="15" t="s">
        <v>93</v>
      </c>
      <c r="C16" s="15" t="s">
        <v>84</v>
      </c>
      <c r="D16" s="16"/>
      <c r="E16" s="16">
        <f>IFERROR(H16/G16,"")</f>
        <v>0.06314432989690721</v>
      </c>
      <c r="F16" s="16">
        <f>IFERROR(I16/G16,"")</f>
        <v>0.0</v>
      </c>
      <c r="G16" s="15">
        <v>776.0</v>
      </c>
      <c r="H16" s="17">
        <v>49.0</v>
      </c>
      <c r="I16" s="17">
        <v>0.0</v>
      </c>
      <c r="J16" s="17">
        <v>4.0</v>
      </c>
      <c r="K16" s="32">
        <f>J16/H16</f>
        <v>0.08163265306122448</v>
      </c>
      <c r="L16" s="15">
        <f>IF(E16-D16&lt;0,0,CEILING((E16-D16)*G16,1))</f>
        <v>49.0</v>
      </c>
      <c r="M16" s="18">
        <v>2.0</v>
      </c>
      <c r="N16" s="18">
        <v>0.0</v>
      </c>
      <c r="O16" s="17"/>
      <c r="P16" s="17"/>
      <c r="Q16" s="17"/>
      <c r="R16" s="16"/>
      <c r="S16" s="18"/>
      <c r="T16" s="31"/>
      <c r="U16" s="17">
        <v>10.0</v>
      </c>
      <c r="V16" s="17">
        <v>0.0</v>
      </c>
      <c r="W16" s="17">
        <v>0.0</v>
      </c>
      <c r="X16" s="17">
        <v>0.0</v>
      </c>
      <c r="Y16" s="32">
        <v>0.0</v>
      </c>
      <c r="Z16" s="15">
        <v>8.0</v>
      </c>
      <c r="AA16" s="16">
        <f>IFERROR(Z16/U16,"")</f>
        <v>0.8</v>
      </c>
      <c r="AB16" s="19">
        <v>1.0</v>
      </c>
      <c r="AC16" s="16">
        <v>0.125</v>
      </c>
      <c r="AD16" s="19">
        <v>3.4</v>
      </c>
      <c r="AE16" s="16">
        <v>0.0</v>
      </c>
      <c r="AF16" s="16">
        <v>0.0</v>
      </c>
      <c r="AG16" s="16">
        <v>0.8</v>
      </c>
      <c r="AH16" s="19"/>
      <c r="AI16" s="16"/>
      <c r="AJ16" s="15">
        <v>10.0</v>
      </c>
      <c r="AK16" s="16">
        <f>IFERROR(AJ16/U16,"")</f>
        <v>1.0</v>
      </c>
      <c r="AL16" s="15">
        <v>0.0</v>
      </c>
      <c r="AM16" s="16">
        <v>0.0</v>
      </c>
      <c r="AN16" s="15">
        <v>8.0</v>
      </c>
      <c r="AO16" s="16">
        <f>IFERROR(AN16/AJ16,"")</f>
        <v>0.8</v>
      </c>
      <c r="AP16" s="19">
        <v>1.0</v>
      </c>
      <c r="AQ16" s="16">
        <v>0.125</v>
      </c>
      <c r="AR16" s="19">
        <v>3.4</v>
      </c>
      <c r="AS16" s="16">
        <v>0.0</v>
      </c>
      <c r="AT16" s="16">
        <v>0.0</v>
      </c>
      <c r="AU16" s="16">
        <v>0.8</v>
      </c>
      <c r="AV16" s="19"/>
      <c r="AW16" s="16"/>
      <c r="AX16" s="15">
        <v>0.0</v>
      </c>
      <c r="AY16" s="16">
        <f>IFERROR(AX16/U16,"")</f>
        <v>0.0</v>
      </c>
      <c r="AZ16" s="15"/>
      <c r="BA16" s="16"/>
      <c r="BB16" s="15">
        <v>0.0</v>
      </c>
      <c r="BC16" s="16" t="str">
        <f>IFERROR(BB16/AX16,"")</f>
        <v/>
      </c>
      <c r="BD16" s="19"/>
      <c r="BE16" s="16"/>
      <c r="BF16" s="19"/>
      <c r="BG16" s="16"/>
      <c r="BH16" s="16"/>
      <c r="BI16" s="16"/>
      <c r="BJ16" s="19"/>
      <c r="BK16" s="16"/>
      <c r="BL16" s="17">
        <v>3.0</v>
      </c>
      <c r="BM16" s="15">
        <v>0.0</v>
      </c>
      <c r="BN16" s="16">
        <f>IFERROR(BM16/BL16,"")</f>
        <v>0.0</v>
      </c>
      <c r="BO16" s="19"/>
      <c r="BP16" s="16"/>
      <c r="BQ16" s="19"/>
      <c r="BR16" s="16">
        <v>0.0</v>
      </c>
      <c r="BS16" s="16">
        <v>0.0</v>
      </c>
      <c r="BT16" s="16">
        <v>1.0</v>
      </c>
      <c r="BU16" s="19"/>
      <c r="BV16" s="16"/>
      <c r="BW16" s="17">
        <v>48.0</v>
      </c>
      <c r="BX16" s="15">
        <v>14.0</v>
      </c>
      <c r="BY16" s="16">
        <f>IFERROR(BX16/BW16,"")</f>
        <v>0.2916666666666667</v>
      </c>
      <c r="BZ16" s="19">
        <v>1.8571428571428572</v>
      </c>
      <c r="CA16" s="16">
        <v>0.19230769230769232</v>
      </c>
      <c r="CB16" s="19">
        <v>3.711111111111111</v>
      </c>
      <c r="CC16" s="16">
        <v>0.0</v>
      </c>
      <c r="CD16" s="16">
        <v>0.0</v>
      </c>
      <c r="CE16" s="16">
        <v>0.8958333333333334</v>
      </c>
      <c r="CF16" s="19"/>
      <c r="CG16" s="16"/>
    </row>
    <row r="17" spans="1:85" s="14" customFormat="1" ht="18.6" customHeight="1">
      <c r="A17" s="14"/>
      <c r="B17" s="25"/>
      <c r="C17" s="25"/>
      <c r="D17" s="26"/>
      <c r="E17" s="26"/>
      <c r="F17" s="26"/>
      <c r="G17" s="25"/>
      <c r="H17" s="27"/>
      <c r="I17" s="27"/>
      <c r="J17" s="27"/>
      <c r="K17" s="33"/>
      <c r="L17" s="25"/>
      <c r="M17" s="27"/>
      <c r="N17" s="27"/>
      <c r="O17" s="27"/>
      <c r="P17" s="27"/>
      <c r="Q17" s="27"/>
      <c r="R17" s="26"/>
      <c r="S17" s="28"/>
      <c r="T17" s="27"/>
      <c r="U17" s="27"/>
      <c r="V17" s="27"/>
      <c r="W17" s="27"/>
      <c r="X17" s="27"/>
      <c r="Y17" s="33"/>
      <c r="Z17" s="25"/>
      <c r="AA17" s="26"/>
      <c r="AB17" s="29"/>
      <c r="AC17" s="26"/>
      <c r="AD17" s="29"/>
      <c r="AE17" s="26"/>
      <c r="AF17" s="26"/>
      <c r="AG17" s="26"/>
      <c r="AH17" s="29"/>
      <c r="AI17" s="26"/>
      <c r="AJ17" s="25"/>
      <c r="AK17" s="26"/>
      <c r="AL17" s="25"/>
      <c r="AM17" s="26"/>
      <c r="AN17" s="25"/>
      <c r="AO17" s="26"/>
      <c r="AP17" s="29"/>
      <c r="AQ17" s="26"/>
      <c r="AR17" s="29"/>
      <c r="AS17" s="26"/>
      <c r="AT17" s="26"/>
      <c r="AU17" s="26"/>
      <c r="AV17" s="29"/>
      <c r="AW17" s="26"/>
      <c r="AX17" s="25"/>
      <c r="AY17" s="26"/>
      <c r="AZ17" s="25"/>
      <c r="BA17" s="26"/>
      <c r="BB17" s="25"/>
      <c r="BC17" s="26"/>
      <c r="BD17" s="29"/>
      <c r="BE17" s="26"/>
      <c r="BF17" s="29"/>
      <c r="BG17" s="26"/>
      <c r="BH17" s="26"/>
      <c r="BI17" s="26"/>
      <c r="BJ17" s="29"/>
      <c r="BK17" s="26"/>
      <c r="BL17" s="27"/>
      <c r="BM17" s="25"/>
      <c r="BN17" s="26"/>
      <c r="BO17" s="29"/>
      <c r="BP17" s="26"/>
      <c r="BQ17" s="29"/>
      <c r="BR17" s="26"/>
      <c r="BS17" s="26"/>
      <c r="BT17" s="26"/>
      <c r="BU17" s="29"/>
      <c r="BV17" s="26"/>
      <c r="BW17" s="27"/>
      <c r="BX17" s="25"/>
      <c r="BY17" s="26"/>
      <c r="BZ17" s="29"/>
      <c r="CA17" s="26"/>
      <c r="CB17" s="29"/>
      <c r="CC17" s="26"/>
      <c r="CD17" s="26"/>
      <c r="CE17" s="26"/>
      <c r="CF17" s="29"/>
      <c r="CG17" s="26"/>
    </row>
    <row r="18" spans="1:85" s="14" customFormat="1" ht="18.6" customHeight="1">
      <c r="A18" s="14"/>
      <c r="B18" s="20" t="s">
        <v>85</v>
      </c>
      <c r="C18" s="20" t="s">
        <v>53</v>
      </c>
      <c r="D18" s="21"/>
      <c r="E18" s="21">
        <f>IFERROR(H18/G18,"")</f>
        <v>0.03367003367003367</v>
      </c>
      <c r="F18" s="21">
        <f>IFERROR(I18/G18,"")</f>
        <v>0.0</v>
      </c>
      <c r="G18" s="20">
        <v>594.0</v>
      </c>
      <c r="H18" s="22">
        <v>20.0</v>
      </c>
      <c r="I18" s="22">
        <v>0.0</v>
      </c>
      <c r="J18" s="22">
        <v>7.0</v>
      </c>
      <c r="K18" s="34">
        <f>J18/H18</f>
        <v>0.35</v>
      </c>
      <c r="L18" s="30">
        <f>IF(E18-D18&lt;0,0,CEILING((E18-D18)*G18,1))</f>
        <v>20.0</v>
      </c>
      <c r="M18" s="23">
        <v>6.0</v>
      </c>
      <c r="N18" s="23">
        <v>0.0</v>
      </c>
      <c r="O18" s="22"/>
      <c r="P18" s="22"/>
      <c r="Q18" s="22"/>
      <c r="R18" s="21"/>
      <c r="S18" s="23"/>
      <c r="T18" s="31"/>
      <c r="U18" s="22">
        <v>12.0</v>
      </c>
      <c r="V18" s="22">
        <v>0.0</v>
      </c>
      <c r="W18" s="22">
        <v>0.0</v>
      </c>
      <c r="X18" s="22">
        <v>1.0</v>
      </c>
      <c r="Y18" s="34">
        <v>0.08333333333333333</v>
      </c>
      <c r="Z18" s="20">
        <v>8.0</v>
      </c>
      <c r="AA18" s="21">
        <f>IFERROR(Z18/U18,"")</f>
        <v>0.6666666666666666</v>
      </c>
      <c r="AB18" s="24">
        <v>1.125</v>
      </c>
      <c r="AC18" s="21">
        <v>0.1111111111111111</v>
      </c>
      <c r="AD18" s="24">
        <v>9.683333333333334</v>
      </c>
      <c r="AE18" s="21">
        <v>0.0</v>
      </c>
      <c r="AF18" s="21">
        <v>0.0</v>
      </c>
      <c r="AG18" s="21">
        <v>0.08333333333333333</v>
      </c>
      <c r="AH18" s="24"/>
      <c r="AI18" s="21"/>
      <c r="AJ18" s="20">
        <v>10.0</v>
      </c>
      <c r="AK18" s="21">
        <f>IFERROR(AJ18/U18,"")</f>
        <v>0.8333333333333334</v>
      </c>
      <c r="AL18" s="20">
        <v>1.0</v>
      </c>
      <c r="AM18" s="21">
        <v>0.1</v>
      </c>
      <c r="AN18" s="20">
        <v>6.0</v>
      </c>
      <c r="AO18" s="21">
        <f>IFERROR(AN18/AJ18,"")</f>
        <v>0.6</v>
      </c>
      <c r="AP18" s="24">
        <v>1.0</v>
      </c>
      <c r="AQ18" s="21">
        <v>0.16666666666666666</v>
      </c>
      <c r="AR18" s="24">
        <v>9.683333333333334</v>
      </c>
      <c r="AS18" s="21">
        <v>0.0</v>
      </c>
      <c r="AT18" s="21">
        <v>0.0</v>
      </c>
      <c r="AU18" s="21">
        <v>0.1</v>
      </c>
      <c r="AV18" s="24"/>
      <c r="AW18" s="21"/>
      <c r="AX18" s="20">
        <v>2.0</v>
      </c>
      <c r="AY18" s="21">
        <f>IFERROR(AX18/U18,"")</f>
        <v>0.16666666666666666</v>
      </c>
      <c r="AZ18" s="20">
        <v>0.0</v>
      </c>
      <c r="BA18" s="21">
        <v>0.0</v>
      </c>
      <c r="BB18" s="20">
        <v>2.0</v>
      </c>
      <c r="BC18" s="21">
        <f>IFERROR(BB18/AX18,"")</f>
        <v>1.0</v>
      </c>
      <c r="BD18" s="24">
        <v>1.5</v>
      </c>
      <c r="BE18" s="21">
        <v>0.0</v>
      </c>
      <c r="BF18" s="24"/>
      <c r="BG18" s="21">
        <v>0.0</v>
      </c>
      <c r="BH18" s="21">
        <v>0.0</v>
      </c>
      <c r="BI18" s="21">
        <v>0.0</v>
      </c>
      <c r="BJ18" s="24"/>
      <c r="BK18" s="21"/>
      <c r="BL18" s="22">
        <v>2.0</v>
      </c>
      <c r="BM18" s="20">
        <v>1.0</v>
      </c>
      <c r="BN18" s="21">
        <f>IFERROR(BM18/BL18,"")</f>
        <v>0.5</v>
      </c>
      <c r="BO18" s="24">
        <v>1.0</v>
      </c>
      <c r="BP18" s="21">
        <v>0.0</v>
      </c>
      <c r="BQ18" s="24"/>
      <c r="BR18" s="21">
        <v>0.0</v>
      </c>
      <c r="BS18" s="21">
        <v>0.0</v>
      </c>
      <c r="BT18" s="21">
        <v>0.0</v>
      </c>
      <c r="BU18" s="24"/>
      <c r="BV18" s="21"/>
      <c r="BW18" s="22">
        <v>18.0</v>
      </c>
      <c r="BX18" s="20">
        <v>4.0</v>
      </c>
      <c r="BY18" s="21">
        <f>IFERROR(BX18/BW18,"")</f>
        <v>0.2222222222222222</v>
      </c>
      <c r="BZ18" s="24">
        <v>1.5</v>
      </c>
      <c r="CA18" s="21">
        <v>0.3333333333333333</v>
      </c>
      <c r="CB18" s="24">
        <v>5.95</v>
      </c>
      <c r="CC18" s="21">
        <v>0.0</v>
      </c>
      <c r="CD18" s="21">
        <v>0.0</v>
      </c>
      <c r="CE18" s="21">
        <v>0.16666666666666666</v>
      </c>
      <c r="CF18" s="24"/>
      <c r="CG18" s="21"/>
    </row>
    <row r="19" spans="1:85" s="14" customFormat="1" ht="18.6" customHeight="1">
      <c r="A19" s="14"/>
      <c r="B19" s="20"/>
      <c r="C19" s="20" t="s">
        <v>52</v>
      </c>
      <c r="D19" s="21"/>
      <c r="E19" s="21">
        <f>IFERROR(H19/G19,"")</f>
        <v>0.042105263157894736</v>
      </c>
      <c r="F19" s="21">
        <f>IFERROR(I19/G19,"")</f>
        <v>0.0</v>
      </c>
      <c r="G19" s="20">
        <v>95.0</v>
      </c>
      <c r="H19" s="22">
        <v>4.0</v>
      </c>
      <c r="I19" s="22">
        <v>0.0</v>
      </c>
      <c r="J19" s="22">
        <v>0.0</v>
      </c>
      <c r="K19" s="34">
        <f>J19/H19</f>
        <v>0.0</v>
      </c>
      <c r="L19" s="30">
        <f>IF(E19-D19&lt;0,0,CEILING((E19-D19)*G19,1))</f>
        <v>4.0</v>
      </c>
      <c r="M19" s="23">
        <v>0.0</v>
      </c>
      <c r="N19" s="23">
        <v>0.0</v>
      </c>
      <c r="O19" s="22"/>
      <c r="P19" s="22"/>
      <c r="Q19" s="22"/>
      <c r="R19" s="21"/>
      <c r="S19" s="23"/>
      <c r="T19" s="31"/>
      <c r="U19" s="22">
        <v>2.0</v>
      </c>
      <c r="V19" s="22">
        <v>0.0</v>
      </c>
      <c r="W19" s="22">
        <v>0.0</v>
      </c>
      <c r="X19" s="22">
        <v>0.0</v>
      </c>
      <c r="Y19" s="34">
        <v>0.0</v>
      </c>
      <c r="Z19" s="20">
        <v>0.0</v>
      </c>
      <c r="AA19" s="21">
        <f>IFERROR(Z19/U19,"")</f>
        <v>0.0</v>
      </c>
      <c r="AB19" s="24"/>
      <c r="AC19" s="21"/>
      <c r="AD19" s="24"/>
      <c r="AE19" s="21">
        <v>0.0</v>
      </c>
      <c r="AF19" s="21">
        <v>0.0</v>
      </c>
      <c r="AG19" s="21">
        <v>0.0</v>
      </c>
      <c r="AH19" s="24"/>
      <c r="AI19" s="21"/>
      <c r="AJ19" s="20">
        <v>2.0</v>
      </c>
      <c r="AK19" s="21">
        <f>IFERROR(AJ19/U19,"")</f>
        <v>1.0</v>
      </c>
      <c r="AL19" s="20">
        <v>0.0</v>
      </c>
      <c r="AM19" s="21">
        <v>0.0</v>
      </c>
      <c r="AN19" s="20">
        <v>0.0</v>
      </c>
      <c r="AO19" s="21">
        <f>IFERROR(AN19/AJ19,"")</f>
        <v>0.0</v>
      </c>
      <c r="AP19" s="24"/>
      <c r="AQ19" s="21"/>
      <c r="AR19" s="24"/>
      <c r="AS19" s="21">
        <v>0.0</v>
      </c>
      <c r="AT19" s="21">
        <v>0.0</v>
      </c>
      <c r="AU19" s="21">
        <v>0.0</v>
      </c>
      <c r="AV19" s="24"/>
      <c r="AW19" s="21"/>
      <c r="AX19" s="20">
        <v>0.0</v>
      </c>
      <c r="AY19" s="21">
        <f>IFERROR(AX19/U19,"")</f>
        <v>0.0</v>
      </c>
      <c r="AZ19" s="20"/>
      <c r="BA19" s="21"/>
      <c r="BB19" s="20">
        <v>0.0</v>
      </c>
      <c r="BC19" s="21" t="str">
        <f>IFERROR(BB19/AX19,"")</f>
        <v/>
      </c>
      <c r="BD19" s="24"/>
      <c r="BE19" s="21"/>
      <c r="BF19" s="24"/>
      <c r="BG19" s="21"/>
      <c r="BH19" s="21"/>
      <c r="BI19" s="21"/>
      <c r="BJ19" s="24"/>
      <c r="BK19" s="21"/>
      <c r="BL19" s="22">
        <v>0.0</v>
      </c>
      <c r="BM19" s="20">
        <v>0.0</v>
      </c>
      <c r="BN19" s="21" t="str">
        <f>IFERROR(BM19/BL19,"")</f>
        <v/>
      </c>
      <c r="BO19" s="24"/>
      <c r="BP19" s="21"/>
      <c r="BQ19" s="24"/>
      <c r="BR19" s="21"/>
      <c r="BS19" s="21"/>
      <c r="BT19" s="21"/>
      <c r="BU19" s="24"/>
      <c r="BV19" s="21"/>
      <c r="BW19" s="22">
        <v>1.0</v>
      </c>
      <c r="BX19" s="20">
        <v>0.0</v>
      </c>
      <c r="BY19" s="21">
        <f>IFERROR(BX19/BW19,"")</f>
        <v>0.0</v>
      </c>
      <c r="BZ19" s="24"/>
      <c r="CA19" s="21"/>
      <c r="CB19" s="24"/>
      <c r="CC19" s="21">
        <v>0.0</v>
      </c>
      <c r="CD19" s="21">
        <v>0.0</v>
      </c>
      <c r="CE19" s="21">
        <v>0.0</v>
      </c>
      <c r="CF19" s="24"/>
      <c r="CG19" s="21"/>
    </row>
    <row r="20" spans="1:85" s="14" customFormat="1" ht="18.6" customHeight="1">
      <c r="A20" s="14"/>
      <c r="B20" s="20"/>
      <c r="C20" s="20" t="s">
        <v>47</v>
      </c>
      <c r="D20" s="21"/>
      <c r="E20" s="21">
        <f>IFERROR(H20/G20,"")</f>
        <v>0.0149812734082397</v>
      </c>
      <c r="F20" s="21">
        <f>IFERROR(I20/G20,"")</f>
        <v>0.0</v>
      </c>
      <c r="G20" s="20">
        <v>267.0</v>
      </c>
      <c r="H20" s="22">
        <v>4.0</v>
      </c>
      <c r="I20" s="22">
        <v>0.0</v>
      </c>
      <c r="J20" s="22">
        <v>2.0</v>
      </c>
      <c r="K20" s="34">
        <f>J20/H20</f>
        <v>0.5</v>
      </c>
      <c r="L20" s="30">
        <f>IF(E20-D20&lt;0,0,CEILING((E20-D20)*G20,1))</f>
        <v>4.0</v>
      </c>
      <c r="M20" s="23">
        <v>2.0</v>
      </c>
      <c r="N20" s="23">
        <v>0.0</v>
      </c>
      <c r="O20" s="22"/>
      <c r="P20" s="22"/>
      <c r="Q20" s="22"/>
      <c r="R20" s="21"/>
      <c r="S20" s="23"/>
      <c r="T20" s="31"/>
      <c r="U20" s="22">
        <v>2.0</v>
      </c>
      <c r="V20" s="22">
        <v>0.0</v>
      </c>
      <c r="W20" s="22">
        <v>0.0</v>
      </c>
      <c r="X20" s="22">
        <v>0.0</v>
      </c>
      <c r="Y20" s="34">
        <v>0.0</v>
      </c>
      <c r="Z20" s="20">
        <v>1.0</v>
      </c>
      <c r="AA20" s="21">
        <f>IFERROR(Z20/U20,"")</f>
        <v>0.5</v>
      </c>
      <c r="AB20" s="24">
        <v>1.0</v>
      </c>
      <c r="AC20" s="21">
        <v>0.0</v>
      </c>
      <c r="AD20" s="24"/>
      <c r="AE20" s="21">
        <v>0.0</v>
      </c>
      <c r="AF20" s="21">
        <v>0.0</v>
      </c>
      <c r="AG20" s="21">
        <v>0.0</v>
      </c>
      <c r="AH20" s="24"/>
      <c r="AI20" s="21"/>
      <c r="AJ20" s="20">
        <v>2.0</v>
      </c>
      <c r="AK20" s="21">
        <f>IFERROR(AJ20/U20,"")</f>
        <v>1.0</v>
      </c>
      <c r="AL20" s="20">
        <v>0.0</v>
      </c>
      <c r="AM20" s="21">
        <v>0.0</v>
      </c>
      <c r="AN20" s="20">
        <v>1.0</v>
      </c>
      <c r="AO20" s="21">
        <f>IFERROR(AN20/AJ20,"")</f>
        <v>0.5</v>
      </c>
      <c r="AP20" s="24">
        <v>1.0</v>
      </c>
      <c r="AQ20" s="21">
        <v>0.0</v>
      </c>
      <c r="AR20" s="24"/>
      <c r="AS20" s="21">
        <v>0.0</v>
      </c>
      <c r="AT20" s="21">
        <v>0.0</v>
      </c>
      <c r="AU20" s="21">
        <v>0.0</v>
      </c>
      <c r="AV20" s="24"/>
      <c r="AW20" s="21"/>
      <c r="AX20" s="20">
        <v>0.0</v>
      </c>
      <c r="AY20" s="21">
        <f>IFERROR(AX20/U20,"")</f>
        <v>0.0</v>
      </c>
      <c r="AZ20" s="20"/>
      <c r="BA20" s="21"/>
      <c r="BB20" s="20">
        <v>0.0</v>
      </c>
      <c r="BC20" s="21" t="str">
        <f>IFERROR(BB20/AX20,"")</f>
        <v/>
      </c>
      <c r="BD20" s="24"/>
      <c r="BE20" s="21"/>
      <c r="BF20" s="24"/>
      <c r="BG20" s="21"/>
      <c r="BH20" s="21"/>
      <c r="BI20" s="21"/>
      <c r="BJ20" s="24"/>
      <c r="BK20" s="21"/>
      <c r="BL20" s="22">
        <v>0.0</v>
      </c>
      <c r="BM20" s="20">
        <v>0.0</v>
      </c>
      <c r="BN20" s="21" t="str">
        <f>IFERROR(BM20/BL20,"")</f>
        <v/>
      </c>
      <c r="BO20" s="24"/>
      <c r="BP20" s="21"/>
      <c r="BQ20" s="24"/>
      <c r="BR20" s="21"/>
      <c r="BS20" s="21"/>
      <c r="BT20" s="21"/>
      <c r="BU20" s="24"/>
      <c r="BV20" s="21"/>
      <c r="BW20" s="22">
        <v>7.0</v>
      </c>
      <c r="BX20" s="20">
        <v>3.0</v>
      </c>
      <c r="BY20" s="21">
        <f>IFERROR(BX20/BW20,"")</f>
        <v>0.42857142857142855</v>
      </c>
      <c r="BZ20" s="24">
        <v>1.0</v>
      </c>
      <c r="CA20" s="21">
        <v>0.6666666666666666</v>
      </c>
      <c r="CB20" s="24">
        <v>5.3</v>
      </c>
      <c r="CC20" s="21">
        <v>0.0</v>
      </c>
      <c r="CD20" s="21">
        <v>0.0</v>
      </c>
      <c r="CE20" s="21">
        <v>0.2857142857142857</v>
      </c>
      <c r="CF20" s="24"/>
      <c r="CG20" s="21"/>
    </row>
    <row r="21" spans="1:85" s="14" customFormat="1" ht="18.6" customHeight="1">
      <c r="A21" s="14"/>
      <c r="B21" s="20"/>
      <c r="C21" s="20" t="s">
        <v>51</v>
      </c>
      <c r="D21" s="21"/>
      <c r="E21" s="21">
        <f>IFERROR(H21/G21,"")</f>
        <v>0.012658227848101266</v>
      </c>
      <c r="F21" s="21">
        <f>IFERROR(I21/G21,"")</f>
        <v>0.0</v>
      </c>
      <c r="G21" s="20">
        <v>79.0</v>
      </c>
      <c r="H21" s="22">
        <v>1.0</v>
      </c>
      <c r="I21" s="22">
        <v>0.0</v>
      </c>
      <c r="J21" s="22">
        <v>0.0</v>
      </c>
      <c r="K21" s="34">
        <f>J21/H21</f>
        <v>0.0</v>
      </c>
      <c r="L21" s="30">
        <f>IF(E21-D21&lt;0,0,CEILING((E21-D21)*G21,1))</f>
        <v>1.0</v>
      </c>
      <c r="M21" s="23">
        <v>0.0</v>
      </c>
      <c r="N21" s="23">
        <v>0.0</v>
      </c>
      <c r="O21" s="22"/>
      <c r="P21" s="22"/>
      <c r="Q21" s="22"/>
      <c r="R21" s="21"/>
      <c r="S21" s="23"/>
      <c r="T21" s="31"/>
      <c r="U21" s="22">
        <v>1.0</v>
      </c>
      <c r="V21" s="22">
        <v>0.0</v>
      </c>
      <c r="W21" s="22">
        <v>0.0</v>
      </c>
      <c r="X21" s="22">
        <v>0.0</v>
      </c>
      <c r="Y21" s="34">
        <v>0.0</v>
      </c>
      <c r="Z21" s="20">
        <v>0.0</v>
      </c>
      <c r="AA21" s="21">
        <f>IFERROR(Z21/U21,"")</f>
        <v>0.0</v>
      </c>
      <c r="AB21" s="24"/>
      <c r="AC21" s="21"/>
      <c r="AD21" s="24"/>
      <c r="AE21" s="21">
        <v>0.0</v>
      </c>
      <c r="AF21" s="21">
        <v>0.0</v>
      </c>
      <c r="AG21" s="21">
        <v>0.0</v>
      </c>
      <c r="AH21" s="24"/>
      <c r="AI21" s="21"/>
      <c r="AJ21" s="20">
        <v>1.0</v>
      </c>
      <c r="AK21" s="21">
        <f>IFERROR(AJ21/U21,"")</f>
        <v>1.0</v>
      </c>
      <c r="AL21" s="20">
        <v>0.0</v>
      </c>
      <c r="AM21" s="21">
        <v>0.0</v>
      </c>
      <c r="AN21" s="20">
        <v>0.0</v>
      </c>
      <c r="AO21" s="21">
        <f>IFERROR(AN21/AJ21,"")</f>
        <v>0.0</v>
      </c>
      <c r="AP21" s="24"/>
      <c r="AQ21" s="21"/>
      <c r="AR21" s="24"/>
      <c r="AS21" s="21">
        <v>0.0</v>
      </c>
      <c r="AT21" s="21">
        <v>0.0</v>
      </c>
      <c r="AU21" s="21">
        <v>0.0</v>
      </c>
      <c r="AV21" s="24"/>
      <c r="AW21" s="21"/>
      <c r="AX21" s="20">
        <v>0.0</v>
      </c>
      <c r="AY21" s="21">
        <f>IFERROR(AX21/U21,"")</f>
        <v>0.0</v>
      </c>
      <c r="AZ21" s="20"/>
      <c r="BA21" s="21"/>
      <c r="BB21" s="20">
        <v>0.0</v>
      </c>
      <c r="BC21" s="21" t="str">
        <f>IFERROR(BB21/AX21,"")</f>
        <v/>
      </c>
      <c r="BD21" s="24"/>
      <c r="BE21" s="21"/>
      <c r="BF21" s="24"/>
      <c r="BG21" s="21"/>
      <c r="BH21" s="21"/>
      <c r="BI21" s="21"/>
      <c r="BJ21" s="24"/>
      <c r="BK21" s="21"/>
      <c r="BL21" s="22">
        <v>0.0</v>
      </c>
      <c r="BM21" s="20">
        <v>0.0</v>
      </c>
      <c r="BN21" s="21" t="str">
        <f>IFERROR(BM21/BL21,"")</f>
        <v/>
      </c>
      <c r="BO21" s="24"/>
      <c r="BP21" s="21"/>
      <c r="BQ21" s="24"/>
      <c r="BR21" s="21"/>
      <c r="BS21" s="21"/>
      <c r="BT21" s="21"/>
      <c r="BU21" s="24"/>
      <c r="BV21" s="21"/>
      <c r="BW21" s="22">
        <v>1.0</v>
      </c>
      <c r="BX21" s="20">
        <v>1.0</v>
      </c>
      <c r="BY21" s="21">
        <f>IFERROR(BX21/BW21,"")</f>
        <v>1.0</v>
      </c>
      <c r="BZ21" s="24">
        <v>1.0</v>
      </c>
      <c r="CA21" s="21">
        <v>0.0</v>
      </c>
      <c r="CB21" s="24"/>
      <c r="CC21" s="21">
        <v>0.0</v>
      </c>
      <c r="CD21" s="21">
        <v>0.0</v>
      </c>
      <c r="CE21" s="21">
        <v>0.0</v>
      </c>
      <c r="CF21" s="24"/>
      <c r="CG21" s="21"/>
    </row>
    <row r="22" spans="1:85" s="14" customFormat="1" ht="18.6" customHeight="1">
      <c r="A22" s="14"/>
      <c r="B22" s="20"/>
      <c r="C22" s="20" t="s">
        <v>46</v>
      </c>
      <c r="D22" s="21"/>
      <c r="E22" s="21">
        <f>IFERROR(H22/G22,"")</f>
        <v>0.02092050209205021</v>
      </c>
      <c r="F22" s="21">
        <f>IFERROR(I22/G22,"")</f>
        <v>0.0</v>
      </c>
      <c r="G22" s="20">
        <v>239.0</v>
      </c>
      <c r="H22" s="22">
        <v>5.0</v>
      </c>
      <c r="I22" s="22">
        <v>0.0</v>
      </c>
      <c r="J22" s="22">
        <v>1.0</v>
      </c>
      <c r="K22" s="34">
        <f>J22/H22</f>
        <v>0.2</v>
      </c>
      <c r="L22" s="30">
        <f>IF(E22-D22&lt;0,0,CEILING((E22-D22)*G22,1))</f>
        <v>5.0</v>
      </c>
      <c r="M22" s="23">
        <v>1.0</v>
      </c>
      <c r="N22" s="23">
        <v>0.0</v>
      </c>
      <c r="O22" s="22"/>
      <c r="P22" s="22"/>
      <c r="Q22" s="22"/>
      <c r="R22" s="21"/>
      <c r="S22" s="23"/>
      <c r="T22" s="31"/>
      <c r="U22" s="22">
        <v>6.0</v>
      </c>
      <c r="V22" s="22">
        <v>0.0</v>
      </c>
      <c r="W22" s="22">
        <v>0.0</v>
      </c>
      <c r="X22" s="22">
        <v>1.0</v>
      </c>
      <c r="Y22" s="34">
        <v>0.16666666666666666</v>
      </c>
      <c r="Z22" s="20">
        <v>2.0</v>
      </c>
      <c r="AA22" s="21">
        <f>IFERROR(Z22/U22,"")</f>
        <v>0.3333333333333333</v>
      </c>
      <c r="AB22" s="24">
        <v>1.5</v>
      </c>
      <c r="AC22" s="21">
        <v>0.3333333333333333</v>
      </c>
      <c r="AD22" s="24">
        <v>2.4833333333333334</v>
      </c>
      <c r="AE22" s="21">
        <v>0.0</v>
      </c>
      <c r="AF22" s="21">
        <v>0.0</v>
      </c>
      <c r="AG22" s="21">
        <v>0.16666666666666666</v>
      </c>
      <c r="AH22" s="24"/>
      <c r="AI22" s="21"/>
      <c r="AJ22" s="20">
        <v>4.0</v>
      </c>
      <c r="AK22" s="21">
        <f>IFERROR(AJ22/U22,"")</f>
        <v>0.6666666666666666</v>
      </c>
      <c r="AL22" s="20">
        <v>0.0</v>
      </c>
      <c r="AM22" s="21">
        <v>0.0</v>
      </c>
      <c r="AN22" s="20">
        <v>1.0</v>
      </c>
      <c r="AO22" s="21">
        <f>IFERROR(AN22/AJ22,"")</f>
        <v>0.25</v>
      </c>
      <c r="AP22" s="24">
        <v>2.0</v>
      </c>
      <c r="AQ22" s="21">
        <v>0.0</v>
      </c>
      <c r="AR22" s="24"/>
      <c r="AS22" s="21">
        <v>0.0</v>
      </c>
      <c r="AT22" s="21">
        <v>0.0</v>
      </c>
      <c r="AU22" s="21">
        <v>0.0</v>
      </c>
      <c r="AV22" s="24"/>
      <c r="AW22" s="21"/>
      <c r="AX22" s="20">
        <v>2.0</v>
      </c>
      <c r="AY22" s="21">
        <f>IFERROR(AX22/U22,"")</f>
        <v>0.3333333333333333</v>
      </c>
      <c r="AZ22" s="20">
        <v>1.0</v>
      </c>
      <c r="BA22" s="21">
        <v>0.5</v>
      </c>
      <c r="BB22" s="20">
        <v>1.0</v>
      </c>
      <c r="BC22" s="21">
        <f>IFERROR(BB22/AX22,"")</f>
        <v>0.5</v>
      </c>
      <c r="BD22" s="24">
        <v>1.0</v>
      </c>
      <c r="BE22" s="21">
        <v>1.0</v>
      </c>
      <c r="BF22" s="24">
        <v>2.4833333333333334</v>
      </c>
      <c r="BG22" s="21">
        <v>0.0</v>
      </c>
      <c r="BH22" s="21">
        <v>0.0</v>
      </c>
      <c r="BI22" s="21">
        <v>0.5</v>
      </c>
      <c r="BJ22" s="24"/>
      <c r="BK22" s="21"/>
      <c r="BL22" s="22">
        <v>0.0</v>
      </c>
      <c r="BM22" s="20">
        <v>0.0</v>
      </c>
      <c r="BN22" s="21" t="str">
        <f>IFERROR(BM22/BL22,"")</f>
        <v/>
      </c>
      <c r="BO22" s="24"/>
      <c r="BP22" s="21"/>
      <c r="BQ22" s="24"/>
      <c r="BR22" s="21"/>
      <c r="BS22" s="21"/>
      <c r="BT22" s="21"/>
      <c r="BU22" s="24"/>
      <c r="BV22" s="21"/>
      <c r="BW22" s="22">
        <v>5.0</v>
      </c>
      <c r="BX22" s="20">
        <v>1.0</v>
      </c>
      <c r="BY22" s="21">
        <f>IFERROR(BX22/BW22,"")</f>
        <v>0.2</v>
      </c>
      <c r="BZ22" s="24">
        <v>3.0</v>
      </c>
      <c r="CA22" s="21">
        <v>0.3333333333333333</v>
      </c>
      <c r="CB22" s="24">
        <v>3.8333333333333335</v>
      </c>
      <c r="CC22" s="21">
        <v>0.0</v>
      </c>
      <c r="CD22" s="21">
        <v>0.0</v>
      </c>
      <c r="CE22" s="21">
        <v>0.0</v>
      </c>
      <c r="CF22" s="24"/>
      <c r="CG22" s="21"/>
    </row>
    <row r="23" spans="1:85" s="14" customFormat="1" ht="18.6" customHeight="1">
      <c r="A23" s="14"/>
      <c r="B23" s="20"/>
      <c r="C23" s="20" t="s">
        <v>61</v>
      </c>
      <c r="D23" s="21"/>
      <c r="E23" s="21">
        <f>IFERROR(H23/G23,"")</f>
        <v>0.0</v>
      </c>
      <c r="F23" s="21">
        <f>IFERROR(I23/G23,"")</f>
        <v>0.0</v>
      </c>
      <c r="G23" s="20">
        <v>20.0</v>
      </c>
      <c r="H23" s="22">
        <v>0.0</v>
      </c>
      <c r="I23" s="22">
        <v>0.0</v>
      </c>
      <c r="J23" s="22">
        <v>0.0</v>
      </c>
      <c r="K23" s="34" t="e">
        <f>J23/H23</f>
        <v>#DIV/0!</v>
      </c>
      <c r="L23" s="30">
        <f>IF(E23-D23&lt;0,0,CEILING((E23-D23)*G23,1))</f>
        <v>0.0</v>
      </c>
      <c r="M23" s="23">
        <v>0.0</v>
      </c>
      <c r="N23" s="23">
        <v>0.0</v>
      </c>
      <c r="O23" s="22"/>
      <c r="P23" s="22"/>
      <c r="Q23" s="22"/>
      <c r="R23" s="21"/>
      <c r="S23" s="23"/>
      <c r="T23" s="31"/>
      <c r="U23" s="22">
        <v>0.0</v>
      </c>
      <c r="V23" s="22">
        <v>0.0</v>
      </c>
      <c r="W23" s="22">
        <v>0.0</v>
      </c>
      <c r="X23" s="22"/>
      <c r="Y23" s="34"/>
      <c r="Z23" s="20">
        <v>0.0</v>
      </c>
      <c r="AA23" s="21" t="str">
        <f>IFERROR(Z23/U23,"")</f>
        <v/>
      </c>
      <c r="AB23" s="24"/>
      <c r="AC23" s="21"/>
      <c r="AD23" s="24"/>
      <c r="AE23" s="21"/>
      <c r="AF23" s="21"/>
      <c r="AG23" s="21"/>
      <c r="AH23" s="24"/>
      <c r="AI23" s="21"/>
      <c r="AJ23" s="20">
        <v>0.0</v>
      </c>
      <c r="AK23" s="21" t="str">
        <f>IFERROR(AJ23/U23,"")</f>
        <v/>
      </c>
      <c r="AL23" s="20"/>
      <c r="AM23" s="21"/>
      <c r="AN23" s="20">
        <v>0.0</v>
      </c>
      <c r="AO23" s="21" t="str">
        <f>IFERROR(AN23/AJ23,"")</f>
        <v/>
      </c>
      <c r="AP23" s="24"/>
      <c r="AQ23" s="21"/>
      <c r="AR23" s="24"/>
      <c r="AS23" s="21"/>
      <c r="AT23" s="21"/>
      <c r="AU23" s="21"/>
      <c r="AV23" s="24"/>
      <c r="AW23" s="21"/>
      <c r="AX23" s="20">
        <v>0.0</v>
      </c>
      <c r="AY23" s="21" t="str">
        <f>IFERROR(AX23/U23,"")</f>
        <v/>
      </c>
      <c r="AZ23" s="20"/>
      <c r="BA23" s="21"/>
      <c r="BB23" s="20">
        <v>0.0</v>
      </c>
      <c r="BC23" s="21" t="str">
        <f>IFERROR(BB23/AX23,"")</f>
        <v/>
      </c>
      <c r="BD23" s="24"/>
      <c r="BE23" s="21"/>
      <c r="BF23" s="24"/>
      <c r="BG23" s="21"/>
      <c r="BH23" s="21"/>
      <c r="BI23" s="21"/>
      <c r="BJ23" s="24"/>
      <c r="BK23" s="21"/>
      <c r="BL23" s="22">
        <v>0.0</v>
      </c>
      <c r="BM23" s="20">
        <v>0.0</v>
      </c>
      <c r="BN23" s="21" t="str">
        <f>IFERROR(BM23/BL23,"")</f>
        <v/>
      </c>
      <c r="BO23" s="24"/>
      <c r="BP23" s="21"/>
      <c r="BQ23" s="24"/>
      <c r="BR23" s="21"/>
      <c r="BS23" s="21"/>
      <c r="BT23" s="21"/>
      <c r="BU23" s="24"/>
      <c r="BV23" s="21"/>
      <c r="BW23" s="22">
        <v>1.0</v>
      </c>
      <c r="BX23" s="20">
        <v>1.0</v>
      </c>
      <c r="BY23" s="21">
        <f>IFERROR(BX23/BW23,"")</f>
        <v>1.0</v>
      </c>
      <c r="BZ23" s="24">
        <v>2.0</v>
      </c>
      <c r="CA23" s="21">
        <v>0.0</v>
      </c>
      <c r="CB23" s="24"/>
      <c r="CC23" s="21">
        <v>0.0</v>
      </c>
      <c r="CD23" s="21">
        <v>0.0</v>
      </c>
      <c r="CE23" s="21">
        <v>0.0</v>
      </c>
      <c r="CF23" s="24"/>
      <c r="CG23" s="21"/>
    </row>
    <row r="24" spans="1:85" s="14" customFormat="1" ht="18.6" customHeight="1">
      <c r="A24" s="14"/>
      <c r="B24" s="20" t="s">
        <v>86</v>
      </c>
      <c r="C24" s="20" t="s">
        <v>62</v>
      </c>
      <c r="D24" s="21"/>
      <c r="E24" s="21">
        <f>IFERROR(H24/G24,"")</f>
        <v>0.07407407407407407</v>
      </c>
      <c r="F24" s="21">
        <f>IFERROR(I24/G24,"")</f>
        <v>0.0</v>
      </c>
      <c r="G24" s="20">
        <v>216.0</v>
      </c>
      <c r="H24" s="22">
        <v>16.0</v>
      </c>
      <c r="I24" s="22">
        <v>0.0</v>
      </c>
      <c r="J24" s="22">
        <v>5.0</v>
      </c>
      <c r="K24" s="34">
        <f>J24/H24</f>
        <v>0.3125</v>
      </c>
      <c r="L24" s="30">
        <f>IF(E24-D24&lt;0,0,CEILING((E24-D24)*G24,1))</f>
        <v>16.0</v>
      </c>
      <c r="M24" s="23">
        <v>2.0</v>
      </c>
      <c r="N24" s="23">
        <v>0.0</v>
      </c>
      <c r="O24" s="22"/>
      <c r="P24" s="22"/>
      <c r="Q24" s="22"/>
      <c r="R24" s="21"/>
      <c r="S24" s="23"/>
      <c r="T24" s="31"/>
      <c r="U24" s="22">
        <v>4.0</v>
      </c>
      <c r="V24" s="22">
        <v>0.0</v>
      </c>
      <c r="W24" s="22">
        <v>0.0</v>
      </c>
      <c r="X24" s="22">
        <v>0.0</v>
      </c>
      <c r="Y24" s="34">
        <v>0.0</v>
      </c>
      <c r="Z24" s="20">
        <v>3.0</v>
      </c>
      <c r="AA24" s="21">
        <f>IFERROR(Z24/U24,"")</f>
        <v>0.75</v>
      </c>
      <c r="AB24" s="24">
        <v>2.0</v>
      </c>
      <c r="AC24" s="21">
        <v>0.0</v>
      </c>
      <c r="AD24" s="24"/>
      <c r="AE24" s="21">
        <v>0.0</v>
      </c>
      <c r="AF24" s="21">
        <v>0.0</v>
      </c>
      <c r="AG24" s="21">
        <v>0.75</v>
      </c>
      <c r="AH24" s="24"/>
      <c r="AI24" s="21"/>
      <c r="AJ24" s="20">
        <v>4.0</v>
      </c>
      <c r="AK24" s="21">
        <f>IFERROR(AJ24/U24,"")</f>
        <v>1.0</v>
      </c>
      <c r="AL24" s="20">
        <v>0.0</v>
      </c>
      <c r="AM24" s="21">
        <v>0.0</v>
      </c>
      <c r="AN24" s="20">
        <v>3.0</v>
      </c>
      <c r="AO24" s="21">
        <f>IFERROR(AN24/AJ24,"")</f>
        <v>0.75</v>
      </c>
      <c r="AP24" s="24">
        <v>2.0</v>
      </c>
      <c r="AQ24" s="21">
        <v>0.0</v>
      </c>
      <c r="AR24" s="24"/>
      <c r="AS24" s="21">
        <v>0.0</v>
      </c>
      <c r="AT24" s="21">
        <v>0.0</v>
      </c>
      <c r="AU24" s="21">
        <v>0.75</v>
      </c>
      <c r="AV24" s="24"/>
      <c r="AW24" s="21"/>
      <c r="AX24" s="20">
        <v>0.0</v>
      </c>
      <c r="AY24" s="21">
        <f>IFERROR(AX24/U24,"")</f>
        <v>0.0</v>
      </c>
      <c r="AZ24" s="20"/>
      <c r="BA24" s="21"/>
      <c r="BB24" s="20">
        <v>0.0</v>
      </c>
      <c r="BC24" s="21" t="str">
        <f>IFERROR(BB24/AX24,"")</f>
        <v/>
      </c>
      <c r="BD24" s="24"/>
      <c r="BE24" s="21"/>
      <c r="BF24" s="24"/>
      <c r="BG24" s="21"/>
      <c r="BH24" s="21"/>
      <c r="BI24" s="21"/>
      <c r="BJ24" s="24"/>
      <c r="BK24" s="21"/>
      <c r="BL24" s="22">
        <v>4.0</v>
      </c>
      <c r="BM24" s="20">
        <v>3.0</v>
      </c>
      <c r="BN24" s="21">
        <f>IFERROR(BM24/BL24,"")</f>
        <v>0.75</v>
      </c>
      <c r="BO24" s="24">
        <v>1.0</v>
      </c>
      <c r="BP24" s="21">
        <v>0.0</v>
      </c>
      <c r="BQ24" s="24"/>
      <c r="BR24" s="21">
        <v>0.0</v>
      </c>
      <c r="BS24" s="21">
        <v>0.0</v>
      </c>
      <c r="BT24" s="21">
        <v>0.75</v>
      </c>
      <c r="BU24" s="24"/>
      <c r="BV24" s="21"/>
      <c r="BW24" s="22">
        <v>6.0</v>
      </c>
      <c r="BX24" s="20">
        <v>3.0</v>
      </c>
      <c r="BY24" s="21">
        <f>IFERROR(BX24/BW24,"")</f>
        <v>0.5</v>
      </c>
      <c r="BZ24" s="24">
        <v>1.6666666666666667</v>
      </c>
      <c r="CA24" s="21">
        <v>0.0</v>
      </c>
      <c r="CB24" s="24"/>
      <c r="CC24" s="21">
        <v>0.0</v>
      </c>
      <c r="CD24" s="21">
        <v>0.0</v>
      </c>
      <c r="CE24" s="21">
        <v>0.8333333333333334</v>
      </c>
      <c r="CF24" s="24"/>
      <c r="CG24" s="21"/>
    </row>
    <row r="25" spans="1:85" s="14" customFormat="1" ht="18.6" customHeight="1">
      <c r="A25" s="14"/>
      <c r="B25" s="20"/>
      <c r="C25" s="20" t="s">
        <v>55</v>
      </c>
      <c r="D25" s="21"/>
      <c r="E25" s="21">
        <f>IFERROR(H25/G25,"")</f>
        <v>0.057971014492753624</v>
      </c>
      <c r="F25" s="21">
        <f>IFERROR(I25/G25,"")</f>
        <v>0.0</v>
      </c>
      <c r="G25" s="20">
        <v>276.0</v>
      </c>
      <c r="H25" s="22">
        <v>16.0</v>
      </c>
      <c r="I25" s="22">
        <v>0.0</v>
      </c>
      <c r="J25" s="22">
        <v>6.0</v>
      </c>
      <c r="K25" s="34">
        <f>J25/H25</f>
        <v>0.375</v>
      </c>
      <c r="L25" s="30">
        <f>IF(E25-D25&lt;0,0,CEILING((E25-D25)*G25,1))</f>
        <v>16.0</v>
      </c>
      <c r="M25" s="23">
        <v>2.0</v>
      </c>
      <c r="N25" s="23">
        <v>0.0</v>
      </c>
      <c r="O25" s="22"/>
      <c r="P25" s="22"/>
      <c r="Q25" s="22"/>
      <c r="R25" s="21"/>
      <c r="S25" s="23"/>
      <c r="T25" s="31"/>
      <c r="U25" s="22">
        <v>5.0</v>
      </c>
      <c r="V25" s="22">
        <v>0.0</v>
      </c>
      <c r="W25" s="22">
        <v>0.0</v>
      </c>
      <c r="X25" s="22">
        <v>0.0</v>
      </c>
      <c r="Y25" s="34">
        <v>0.0</v>
      </c>
      <c r="Z25" s="20">
        <v>4.0</v>
      </c>
      <c r="AA25" s="21">
        <f>IFERROR(Z25/U25,"")</f>
        <v>0.8</v>
      </c>
      <c r="AB25" s="24">
        <v>1.0</v>
      </c>
      <c r="AC25" s="21">
        <v>0.25</v>
      </c>
      <c r="AD25" s="24">
        <v>3.933333333333333</v>
      </c>
      <c r="AE25" s="21">
        <v>0.0</v>
      </c>
      <c r="AF25" s="21">
        <v>0.0</v>
      </c>
      <c r="AG25" s="21">
        <v>1.0</v>
      </c>
      <c r="AH25" s="24"/>
      <c r="AI25" s="21"/>
      <c r="AJ25" s="20">
        <v>4.0</v>
      </c>
      <c r="AK25" s="21">
        <f>IFERROR(AJ25/U25,"")</f>
        <v>0.8</v>
      </c>
      <c r="AL25" s="20">
        <v>0.0</v>
      </c>
      <c r="AM25" s="21">
        <v>0.0</v>
      </c>
      <c r="AN25" s="20">
        <v>3.0</v>
      </c>
      <c r="AO25" s="21">
        <f>IFERROR(AN25/AJ25,"")</f>
        <v>0.75</v>
      </c>
      <c r="AP25" s="24">
        <v>1.0</v>
      </c>
      <c r="AQ25" s="21">
        <v>0.3333333333333333</v>
      </c>
      <c r="AR25" s="24">
        <v>3.933333333333333</v>
      </c>
      <c r="AS25" s="21">
        <v>0.0</v>
      </c>
      <c r="AT25" s="21">
        <v>0.0</v>
      </c>
      <c r="AU25" s="21">
        <v>1.0</v>
      </c>
      <c r="AV25" s="24"/>
      <c r="AW25" s="21"/>
      <c r="AX25" s="20">
        <v>1.0</v>
      </c>
      <c r="AY25" s="21">
        <f>IFERROR(AX25/U25,"")</f>
        <v>0.2</v>
      </c>
      <c r="AZ25" s="20">
        <v>0.0</v>
      </c>
      <c r="BA25" s="21">
        <v>0.0</v>
      </c>
      <c r="BB25" s="20">
        <v>1.0</v>
      </c>
      <c r="BC25" s="21">
        <f>IFERROR(BB25/AX25,"")</f>
        <v>1.0</v>
      </c>
      <c r="BD25" s="24">
        <v>1.0</v>
      </c>
      <c r="BE25" s="21">
        <v>0.0</v>
      </c>
      <c r="BF25" s="24"/>
      <c r="BG25" s="21">
        <v>0.0</v>
      </c>
      <c r="BH25" s="21">
        <v>0.0</v>
      </c>
      <c r="BI25" s="21">
        <v>1.0</v>
      </c>
      <c r="BJ25" s="24"/>
      <c r="BK25" s="21"/>
      <c r="BL25" s="22">
        <v>2.0</v>
      </c>
      <c r="BM25" s="20">
        <v>0.0</v>
      </c>
      <c r="BN25" s="21">
        <f>IFERROR(BM25/BL25,"")</f>
        <v>0.0</v>
      </c>
      <c r="BO25" s="24"/>
      <c r="BP25" s="21"/>
      <c r="BQ25" s="24"/>
      <c r="BR25" s="21">
        <v>0.0</v>
      </c>
      <c r="BS25" s="21">
        <v>0.0</v>
      </c>
      <c r="BT25" s="21">
        <v>0.5</v>
      </c>
      <c r="BU25" s="24"/>
      <c r="BV25" s="21"/>
      <c r="BW25" s="22">
        <v>10.0</v>
      </c>
      <c r="BX25" s="20">
        <v>8.0</v>
      </c>
      <c r="BY25" s="21">
        <f>IFERROR(BX25/BW25,"")</f>
        <v>0.8</v>
      </c>
      <c r="BZ25" s="24">
        <v>1.625</v>
      </c>
      <c r="CA25" s="21">
        <v>0.15384615384615385</v>
      </c>
      <c r="CB25" s="24">
        <v>6.283333333333333</v>
      </c>
      <c r="CC25" s="21">
        <v>0.0</v>
      </c>
      <c r="CD25" s="21">
        <v>0.0</v>
      </c>
      <c r="CE25" s="21">
        <v>0.7</v>
      </c>
      <c r="CF25" s="24"/>
      <c r="CG25" s="21"/>
    </row>
    <row r="26" spans="1:85" s="14" customFormat="1" ht="18.6" customHeight="1">
      <c r="A26" s="14"/>
      <c r="B26" s="20"/>
      <c r="C26" s="20" t="s">
        <v>94</v>
      </c>
      <c r="D26" s="21"/>
      <c r="E26" s="21">
        <f>IFERROR(H26/G26,"")</f>
        <v>0.04065040650406504</v>
      </c>
      <c r="F26" s="21">
        <f>IFERROR(I26/G26,"")</f>
        <v>0.0</v>
      </c>
      <c r="G26" s="20">
        <v>246.0</v>
      </c>
      <c r="H26" s="22">
        <v>10.0</v>
      </c>
      <c r="I26" s="22">
        <v>0.0</v>
      </c>
      <c r="J26" s="22">
        <v>6.0</v>
      </c>
      <c r="K26" s="34">
        <f>J26/H26</f>
        <v>0.6</v>
      </c>
      <c r="L26" s="30">
        <f>IF(E26-D26&lt;0,0,CEILING((E26-D26)*G26,1))</f>
        <v>10.0</v>
      </c>
      <c r="M26" s="23">
        <v>3.0</v>
      </c>
      <c r="N26" s="23">
        <v>0.0</v>
      </c>
      <c r="O26" s="22"/>
      <c r="P26" s="22"/>
      <c r="Q26" s="22"/>
      <c r="R26" s="21"/>
      <c r="S26" s="23"/>
      <c r="T26" s="31"/>
      <c r="U26" s="22">
        <v>2.0</v>
      </c>
      <c r="V26" s="22">
        <v>0.0</v>
      </c>
      <c r="W26" s="22">
        <v>0.0</v>
      </c>
      <c r="X26" s="22">
        <v>0.0</v>
      </c>
      <c r="Y26" s="34">
        <v>0.0</v>
      </c>
      <c r="Z26" s="20">
        <v>1.0</v>
      </c>
      <c r="AA26" s="21">
        <f>IFERROR(Z26/U26,"")</f>
        <v>0.5</v>
      </c>
      <c r="AB26" s="24">
        <v>1.0</v>
      </c>
      <c r="AC26" s="21">
        <v>0.0</v>
      </c>
      <c r="AD26" s="24"/>
      <c r="AE26" s="21">
        <v>0.0</v>
      </c>
      <c r="AF26" s="21">
        <v>0.0</v>
      </c>
      <c r="AG26" s="21">
        <v>0.5</v>
      </c>
      <c r="AH26" s="24"/>
      <c r="AI26" s="21"/>
      <c r="AJ26" s="20">
        <v>2.0</v>
      </c>
      <c r="AK26" s="21">
        <f>IFERROR(AJ26/U26,"")</f>
        <v>1.0</v>
      </c>
      <c r="AL26" s="20">
        <v>0.0</v>
      </c>
      <c r="AM26" s="21">
        <v>0.0</v>
      </c>
      <c r="AN26" s="20">
        <v>1.0</v>
      </c>
      <c r="AO26" s="21">
        <f>IFERROR(AN26/AJ26,"")</f>
        <v>0.5</v>
      </c>
      <c r="AP26" s="24">
        <v>1.0</v>
      </c>
      <c r="AQ26" s="21">
        <v>0.0</v>
      </c>
      <c r="AR26" s="24"/>
      <c r="AS26" s="21">
        <v>0.0</v>
      </c>
      <c r="AT26" s="21">
        <v>0.0</v>
      </c>
      <c r="AU26" s="21">
        <v>0.5</v>
      </c>
      <c r="AV26" s="24"/>
      <c r="AW26" s="21"/>
      <c r="AX26" s="20">
        <v>0.0</v>
      </c>
      <c r="AY26" s="21">
        <f>IFERROR(AX26/U26,"")</f>
        <v>0.0</v>
      </c>
      <c r="AZ26" s="20"/>
      <c r="BA26" s="21"/>
      <c r="BB26" s="20">
        <v>0.0</v>
      </c>
      <c r="BC26" s="21" t="str">
        <f>IFERROR(BB26/AX26,"")</f>
        <v/>
      </c>
      <c r="BD26" s="24"/>
      <c r="BE26" s="21"/>
      <c r="BF26" s="24"/>
      <c r="BG26" s="21"/>
      <c r="BH26" s="21"/>
      <c r="BI26" s="21"/>
      <c r="BJ26" s="24"/>
      <c r="BK26" s="21"/>
      <c r="BL26" s="22">
        <v>1.0</v>
      </c>
      <c r="BM26" s="20">
        <v>0.0</v>
      </c>
      <c r="BN26" s="21">
        <f>IFERROR(BM26/BL26,"")</f>
        <v>0.0</v>
      </c>
      <c r="BO26" s="24"/>
      <c r="BP26" s="21"/>
      <c r="BQ26" s="24"/>
      <c r="BR26" s="21">
        <v>0.0</v>
      </c>
      <c r="BS26" s="21">
        <v>0.0</v>
      </c>
      <c r="BT26" s="21">
        <v>1.0</v>
      </c>
      <c r="BU26" s="24"/>
      <c r="BV26" s="21"/>
      <c r="BW26" s="22">
        <v>10.0</v>
      </c>
      <c r="BX26" s="20">
        <v>5.0</v>
      </c>
      <c r="BY26" s="21">
        <f>IFERROR(BX26/BW26,"")</f>
        <v>0.5</v>
      </c>
      <c r="BZ26" s="24">
        <v>1.2</v>
      </c>
      <c r="CA26" s="21">
        <v>0.0</v>
      </c>
      <c r="CB26" s="24"/>
      <c r="CC26" s="21">
        <v>0.0</v>
      </c>
      <c r="CD26" s="21">
        <v>0.0</v>
      </c>
      <c r="CE26" s="21">
        <v>0.8</v>
      </c>
      <c r="CF26" s="24"/>
      <c r="CG26" s="21"/>
    </row>
    <row r="27" spans="1:85" s="14" customFormat="1" ht="18.6" customHeight="1">
      <c r="A27" s="14"/>
      <c r="B27" s="20"/>
      <c r="C27" s="20" t="s">
        <v>95</v>
      </c>
      <c r="D27" s="21"/>
      <c r="E27" s="21">
        <f>IFERROR(H27/G27,"")</f>
        <v>0.05241935483870968</v>
      </c>
      <c r="F27" s="21">
        <f>IFERROR(I27/G27,"")</f>
        <v>0.0</v>
      </c>
      <c r="G27" s="20">
        <v>248.0</v>
      </c>
      <c r="H27" s="22">
        <v>13.0</v>
      </c>
      <c r="I27" s="22">
        <v>0.0</v>
      </c>
      <c r="J27" s="22">
        <v>2.0</v>
      </c>
      <c r="K27" s="34">
        <f>J27/H27</f>
        <v>0.15384615384615385</v>
      </c>
      <c r="L27" s="30">
        <f>IF(E27-D27&lt;0,0,CEILING((E27-D27)*G27,1))</f>
        <v>13.0</v>
      </c>
      <c r="M27" s="23">
        <v>0.0</v>
      </c>
      <c r="N27" s="23">
        <v>0.0</v>
      </c>
      <c r="O27" s="22"/>
      <c r="P27" s="22"/>
      <c r="Q27" s="22"/>
      <c r="R27" s="21"/>
      <c r="S27" s="23"/>
      <c r="T27" s="31"/>
      <c r="U27" s="22">
        <v>6.0</v>
      </c>
      <c r="V27" s="22">
        <v>0.0</v>
      </c>
      <c r="W27" s="22">
        <v>0.0</v>
      </c>
      <c r="X27" s="22">
        <v>0.0</v>
      </c>
      <c r="Y27" s="34">
        <v>0.0</v>
      </c>
      <c r="Z27" s="20">
        <v>2.0</v>
      </c>
      <c r="AA27" s="21">
        <f>IFERROR(Z27/U27,"")</f>
        <v>0.3333333333333333</v>
      </c>
      <c r="AB27" s="24">
        <v>1.0</v>
      </c>
      <c r="AC27" s="21">
        <v>0.0</v>
      </c>
      <c r="AD27" s="24"/>
      <c r="AE27" s="21">
        <v>0.0</v>
      </c>
      <c r="AF27" s="21">
        <v>0.0</v>
      </c>
      <c r="AG27" s="21">
        <v>0.6666666666666666</v>
      </c>
      <c r="AH27" s="24"/>
      <c r="AI27" s="21"/>
      <c r="AJ27" s="20">
        <v>4.0</v>
      </c>
      <c r="AK27" s="21">
        <f>IFERROR(AJ27/U27,"")</f>
        <v>0.6666666666666666</v>
      </c>
      <c r="AL27" s="20">
        <v>0.0</v>
      </c>
      <c r="AM27" s="21">
        <v>0.0</v>
      </c>
      <c r="AN27" s="20">
        <v>2.0</v>
      </c>
      <c r="AO27" s="21">
        <f>IFERROR(AN27/AJ27,"")</f>
        <v>0.5</v>
      </c>
      <c r="AP27" s="24">
        <v>1.0</v>
      </c>
      <c r="AQ27" s="21">
        <v>0.0</v>
      </c>
      <c r="AR27" s="24"/>
      <c r="AS27" s="21">
        <v>0.0</v>
      </c>
      <c r="AT27" s="21">
        <v>0.0</v>
      </c>
      <c r="AU27" s="21">
        <v>0.75</v>
      </c>
      <c r="AV27" s="24"/>
      <c r="AW27" s="21"/>
      <c r="AX27" s="20">
        <v>2.0</v>
      </c>
      <c r="AY27" s="21">
        <f>IFERROR(AX27/U27,"")</f>
        <v>0.3333333333333333</v>
      </c>
      <c r="AZ27" s="20">
        <v>0.0</v>
      </c>
      <c r="BA27" s="21">
        <v>0.0</v>
      </c>
      <c r="BB27" s="20">
        <v>0.0</v>
      </c>
      <c r="BC27" s="21">
        <f>IFERROR(BB27/AX27,"")</f>
        <v>0.0</v>
      </c>
      <c r="BD27" s="24"/>
      <c r="BE27" s="21"/>
      <c r="BF27" s="24"/>
      <c r="BG27" s="21">
        <v>0.0</v>
      </c>
      <c r="BH27" s="21">
        <v>0.0</v>
      </c>
      <c r="BI27" s="21">
        <v>0.5</v>
      </c>
      <c r="BJ27" s="24"/>
      <c r="BK27" s="21"/>
      <c r="BL27" s="22">
        <v>1.0</v>
      </c>
      <c r="BM27" s="20">
        <v>1.0</v>
      </c>
      <c r="BN27" s="21">
        <f>IFERROR(BM27/BL27,"")</f>
        <v>1.0</v>
      </c>
      <c r="BO27" s="24">
        <v>1.0</v>
      </c>
      <c r="BP27" s="21">
        <v>0.0</v>
      </c>
      <c r="BQ27" s="24"/>
      <c r="BR27" s="21">
        <v>0.0</v>
      </c>
      <c r="BS27" s="21">
        <v>0.0</v>
      </c>
      <c r="BT27" s="21">
        <v>1.0</v>
      </c>
      <c r="BU27" s="24"/>
      <c r="BV27" s="21"/>
      <c r="BW27" s="22">
        <v>8.0</v>
      </c>
      <c r="BX27" s="20">
        <v>2.0</v>
      </c>
      <c r="BY27" s="21">
        <f>IFERROR(BX27/BW27,"")</f>
        <v>0.25</v>
      </c>
      <c r="BZ27" s="24">
        <v>1.0</v>
      </c>
      <c r="CA27" s="21">
        <v>0.0</v>
      </c>
      <c r="CB27" s="24"/>
      <c r="CC27" s="21">
        <v>0.0</v>
      </c>
      <c r="CD27" s="21">
        <v>0.0</v>
      </c>
      <c r="CE27" s="21">
        <v>0.625</v>
      </c>
      <c r="CF27" s="24"/>
      <c r="CG27" s="21"/>
    </row>
    <row r="28" spans="1:85" s="14" customFormat="1" ht="18.6" customHeight="1">
      <c r="A28" s="14"/>
      <c r="B28" s="20"/>
      <c r="C28" s="20" t="s">
        <v>96</v>
      </c>
      <c r="D28" s="21"/>
      <c r="E28" s="21">
        <f>IFERROR(H28/G28,"")</f>
        <v>0.06896551724137931</v>
      </c>
      <c r="F28" s="21">
        <f>IFERROR(I28/G28,"")</f>
        <v>0.0</v>
      </c>
      <c r="G28" s="20">
        <v>261.0</v>
      </c>
      <c r="H28" s="22">
        <v>18.0</v>
      </c>
      <c r="I28" s="22">
        <v>0.0</v>
      </c>
      <c r="J28" s="22">
        <v>3.0</v>
      </c>
      <c r="K28" s="34">
        <f>J28/H28</f>
        <v>0.16666666666666666</v>
      </c>
      <c r="L28" s="30">
        <f>IF(E28-D28&lt;0,0,CEILING((E28-D28)*G28,1))</f>
        <v>18.0</v>
      </c>
      <c r="M28" s="23">
        <v>2.0</v>
      </c>
      <c r="N28" s="23">
        <v>0.0</v>
      </c>
      <c r="O28" s="22"/>
      <c r="P28" s="22"/>
      <c r="Q28" s="22"/>
      <c r="R28" s="21"/>
      <c r="S28" s="23"/>
      <c r="T28" s="31"/>
      <c r="U28" s="22">
        <v>11.0</v>
      </c>
      <c r="V28" s="22">
        <v>0.0</v>
      </c>
      <c r="W28" s="22">
        <v>0.0</v>
      </c>
      <c r="X28" s="22">
        <v>0.0</v>
      </c>
      <c r="Y28" s="34">
        <v>0.0</v>
      </c>
      <c r="Z28" s="20">
        <v>6.0</v>
      </c>
      <c r="AA28" s="21">
        <f>IFERROR(Z28/U28,"")</f>
        <v>0.5454545454545454</v>
      </c>
      <c r="AB28" s="24">
        <v>1.3333333333333333</v>
      </c>
      <c r="AC28" s="21">
        <v>0.0</v>
      </c>
      <c r="AD28" s="24"/>
      <c r="AE28" s="21">
        <v>0.0</v>
      </c>
      <c r="AF28" s="21">
        <v>0.0</v>
      </c>
      <c r="AG28" s="21">
        <v>1.0</v>
      </c>
      <c r="AH28" s="24"/>
      <c r="AI28" s="21"/>
      <c r="AJ28" s="20">
        <v>7.0</v>
      </c>
      <c r="AK28" s="21">
        <f>IFERROR(AJ28/U28,"")</f>
        <v>0.6363636363636364</v>
      </c>
      <c r="AL28" s="20">
        <v>0.0</v>
      </c>
      <c r="AM28" s="21">
        <v>0.0</v>
      </c>
      <c r="AN28" s="20">
        <v>4.0</v>
      </c>
      <c r="AO28" s="21">
        <f>IFERROR(AN28/AJ28,"")</f>
        <v>0.5714285714285714</v>
      </c>
      <c r="AP28" s="24">
        <v>1.25</v>
      </c>
      <c r="AQ28" s="21">
        <v>0.0</v>
      </c>
      <c r="AR28" s="24"/>
      <c r="AS28" s="21">
        <v>0.0</v>
      </c>
      <c r="AT28" s="21">
        <v>0.0</v>
      </c>
      <c r="AU28" s="21">
        <v>1.0</v>
      </c>
      <c r="AV28" s="24"/>
      <c r="AW28" s="21"/>
      <c r="AX28" s="20">
        <v>4.0</v>
      </c>
      <c r="AY28" s="21">
        <f>IFERROR(AX28/U28,"")</f>
        <v>0.36363636363636365</v>
      </c>
      <c r="AZ28" s="20">
        <v>0.0</v>
      </c>
      <c r="BA28" s="21">
        <v>0.0</v>
      </c>
      <c r="BB28" s="20">
        <v>2.0</v>
      </c>
      <c r="BC28" s="21">
        <f>IFERROR(BB28/AX28,"")</f>
        <v>0.5</v>
      </c>
      <c r="BD28" s="24">
        <v>1.5</v>
      </c>
      <c r="BE28" s="21">
        <v>0.0</v>
      </c>
      <c r="BF28" s="24"/>
      <c r="BG28" s="21">
        <v>0.0</v>
      </c>
      <c r="BH28" s="21">
        <v>0.0</v>
      </c>
      <c r="BI28" s="21">
        <v>1.0</v>
      </c>
      <c r="BJ28" s="24"/>
      <c r="BK28" s="21"/>
      <c r="BL28" s="22">
        <v>1.0</v>
      </c>
      <c r="BM28" s="20">
        <v>1.0</v>
      </c>
      <c r="BN28" s="21">
        <f>IFERROR(BM28/BL28,"")</f>
        <v>1.0</v>
      </c>
      <c r="BO28" s="24">
        <v>1.0</v>
      </c>
      <c r="BP28" s="21">
        <v>0.0</v>
      </c>
      <c r="BQ28" s="24"/>
      <c r="BR28" s="21">
        <v>0.0</v>
      </c>
      <c r="BS28" s="21">
        <v>0.0</v>
      </c>
      <c r="BT28" s="21">
        <v>1.0</v>
      </c>
      <c r="BU28" s="24"/>
      <c r="BV28" s="21"/>
      <c r="BW28" s="22">
        <v>14.0</v>
      </c>
      <c r="BX28" s="20">
        <v>7.0</v>
      </c>
      <c r="BY28" s="21">
        <f>IFERROR(BX28/BW28,"")</f>
        <v>0.5</v>
      </c>
      <c r="BZ28" s="24">
        <v>1.0</v>
      </c>
      <c r="CA28" s="21">
        <v>0.0</v>
      </c>
      <c r="CB28" s="24"/>
      <c r="CC28" s="21">
        <v>0.0</v>
      </c>
      <c r="CD28" s="21">
        <v>0.0</v>
      </c>
      <c r="CE28" s="21">
        <v>0.8571428571428571</v>
      </c>
      <c r="CF28" s="24"/>
      <c r="CG28" s="21"/>
    </row>
    <row r="29" spans="1:85" s="14" customFormat="1" ht="18.6" customHeight="1">
      <c r="A29" s="14"/>
      <c r="B29" s="20"/>
      <c r="C29" s="20" t="s">
        <v>97</v>
      </c>
      <c r="D29" s="21"/>
      <c r="E29" s="21">
        <f>IFERROR(H29/G29,"")</f>
        <v>0.07142857142857142</v>
      </c>
      <c r="F29" s="21">
        <f>IFERROR(I29/G29,"")</f>
        <v>0.0</v>
      </c>
      <c r="G29" s="20">
        <v>28.0</v>
      </c>
      <c r="H29" s="22">
        <v>2.0</v>
      </c>
      <c r="I29" s="22">
        <v>0.0</v>
      </c>
      <c r="J29" s="22">
        <v>0.0</v>
      </c>
      <c r="K29" s="34">
        <f>J29/H29</f>
        <v>0.0</v>
      </c>
      <c r="L29" s="30">
        <f>IF(E29-D29&lt;0,0,CEILING((E29-D29)*G29,1))</f>
        <v>2.0</v>
      </c>
      <c r="M29" s="23">
        <v>0.0</v>
      </c>
      <c r="N29" s="23">
        <v>0.0</v>
      </c>
      <c r="O29" s="22"/>
      <c r="P29" s="22"/>
      <c r="Q29" s="22"/>
      <c r="R29" s="21"/>
      <c r="S29" s="23"/>
      <c r="T29" s="31"/>
      <c r="U29" s="22">
        <v>1.0</v>
      </c>
      <c r="V29" s="22">
        <v>0.0</v>
      </c>
      <c r="W29" s="22">
        <v>0.0</v>
      </c>
      <c r="X29" s="22">
        <v>0.0</v>
      </c>
      <c r="Y29" s="34">
        <v>0.0</v>
      </c>
      <c r="Z29" s="20">
        <v>1.0</v>
      </c>
      <c r="AA29" s="21">
        <f>IFERROR(Z29/U29,"")</f>
        <v>1.0</v>
      </c>
      <c r="AB29" s="24">
        <v>2.0</v>
      </c>
      <c r="AC29" s="21">
        <v>0.0</v>
      </c>
      <c r="AD29" s="24"/>
      <c r="AE29" s="21">
        <v>0.0</v>
      </c>
      <c r="AF29" s="21">
        <v>0.0</v>
      </c>
      <c r="AG29" s="21">
        <v>0.0</v>
      </c>
      <c r="AH29" s="24"/>
      <c r="AI29" s="21"/>
      <c r="AJ29" s="20">
        <v>1.0</v>
      </c>
      <c r="AK29" s="21">
        <f>IFERROR(AJ29/U29,"")</f>
        <v>1.0</v>
      </c>
      <c r="AL29" s="20">
        <v>0.0</v>
      </c>
      <c r="AM29" s="21">
        <v>0.0</v>
      </c>
      <c r="AN29" s="20">
        <v>1.0</v>
      </c>
      <c r="AO29" s="21">
        <f>IFERROR(AN29/AJ29,"")</f>
        <v>1.0</v>
      </c>
      <c r="AP29" s="24">
        <v>2.0</v>
      </c>
      <c r="AQ29" s="21">
        <v>0.0</v>
      </c>
      <c r="AR29" s="24"/>
      <c r="AS29" s="21">
        <v>0.0</v>
      </c>
      <c r="AT29" s="21">
        <v>0.0</v>
      </c>
      <c r="AU29" s="21">
        <v>0.0</v>
      </c>
      <c r="AV29" s="24"/>
      <c r="AW29" s="21"/>
      <c r="AX29" s="20">
        <v>0.0</v>
      </c>
      <c r="AY29" s="21">
        <f>IFERROR(AX29/U29,"")</f>
        <v>0.0</v>
      </c>
      <c r="AZ29" s="20"/>
      <c r="BA29" s="21"/>
      <c r="BB29" s="20">
        <v>0.0</v>
      </c>
      <c r="BC29" s="21" t="str">
        <f>IFERROR(BB29/AX29,"")</f>
        <v/>
      </c>
      <c r="BD29" s="24"/>
      <c r="BE29" s="21"/>
      <c r="BF29" s="24"/>
      <c r="BG29" s="21"/>
      <c r="BH29" s="21"/>
      <c r="BI29" s="21"/>
      <c r="BJ29" s="24"/>
      <c r="BK29" s="21"/>
      <c r="BL29" s="22">
        <v>0.0</v>
      </c>
      <c r="BM29" s="20">
        <v>0.0</v>
      </c>
      <c r="BN29" s="21" t="str">
        <f>IFERROR(BM29/BL29,"")</f>
        <v/>
      </c>
      <c r="BO29" s="24"/>
      <c r="BP29" s="21"/>
      <c r="BQ29" s="24"/>
      <c r="BR29" s="21"/>
      <c r="BS29" s="21"/>
      <c r="BT29" s="21"/>
      <c r="BU29" s="24"/>
      <c r="BV29" s="21"/>
      <c r="BW29" s="22">
        <v>3.0</v>
      </c>
      <c r="BX29" s="20">
        <v>3.0</v>
      </c>
      <c r="BY29" s="21">
        <f>IFERROR(BX29/BW29,"")</f>
        <v>1.0</v>
      </c>
      <c r="BZ29" s="24">
        <v>2.6666666666666665</v>
      </c>
      <c r="CA29" s="21">
        <v>0.125</v>
      </c>
      <c r="CB29" s="24">
        <v>2.2</v>
      </c>
      <c r="CC29" s="21">
        <v>0.0</v>
      </c>
      <c r="CD29" s="21">
        <v>0.0</v>
      </c>
      <c r="CE29" s="21">
        <v>1.0</v>
      </c>
      <c r="CF29" s="24"/>
      <c r="CG29" s="21"/>
    </row>
    <row r="30" spans="1:85" s="14" customFormat="1" ht="18.6" customHeight="1">
      <c r="A30" s="14"/>
      <c r="B30" s="20"/>
      <c r="C30" s="20" t="s">
        <v>98</v>
      </c>
      <c r="D30" s="21"/>
      <c r="E30" s="21">
        <f>IFERROR(H30/G30,"")</f>
        <v>0.0335195530726257</v>
      </c>
      <c r="F30" s="21">
        <f>IFERROR(I30/G30,"")</f>
        <v>0.0</v>
      </c>
      <c r="G30" s="20">
        <v>179.0</v>
      </c>
      <c r="H30" s="22">
        <v>6.0</v>
      </c>
      <c r="I30" s="22">
        <v>0.0</v>
      </c>
      <c r="J30" s="22">
        <v>1.0</v>
      </c>
      <c r="K30" s="34">
        <f>J30/H30</f>
        <v>0.16666666666666666</v>
      </c>
      <c r="L30" s="30">
        <f>IF(E30-D30&lt;0,0,CEILING((E30-D30)*G30,1))</f>
        <v>6.0</v>
      </c>
      <c r="M30" s="23">
        <v>0.0</v>
      </c>
      <c r="N30" s="23">
        <v>0.0</v>
      </c>
      <c r="O30" s="22"/>
      <c r="P30" s="22"/>
      <c r="Q30" s="22"/>
      <c r="R30" s="21"/>
      <c r="S30" s="23"/>
      <c r="T30" s="31"/>
      <c r="U30" s="22">
        <v>4.0</v>
      </c>
      <c r="V30" s="22">
        <v>0.0</v>
      </c>
      <c r="W30" s="22">
        <v>0.0</v>
      </c>
      <c r="X30" s="22">
        <v>0.0</v>
      </c>
      <c r="Y30" s="34">
        <v>0.0</v>
      </c>
      <c r="Z30" s="20">
        <v>1.0</v>
      </c>
      <c r="AA30" s="21">
        <f>IFERROR(Z30/U30,"")</f>
        <v>0.25</v>
      </c>
      <c r="AB30" s="24">
        <v>2.0</v>
      </c>
      <c r="AC30" s="21">
        <v>0.0</v>
      </c>
      <c r="AD30" s="24"/>
      <c r="AE30" s="21">
        <v>0.0</v>
      </c>
      <c r="AF30" s="21">
        <v>0.0</v>
      </c>
      <c r="AG30" s="21">
        <v>1.0</v>
      </c>
      <c r="AH30" s="24"/>
      <c r="AI30" s="21"/>
      <c r="AJ30" s="20">
        <v>3.0</v>
      </c>
      <c r="AK30" s="21">
        <f>IFERROR(AJ30/U30,"")</f>
        <v>0.75</v>
      </c>
      <c r="AL30" s="20">
        <v>0.0</v>
      </c>
      <c r="AM30" s="21">
        <v>0.0</v>
      </c>
      <c r="AN30" s="20">
        <v>1.0</v>
      </c>
      <c r="AO30" s="21">
        <f>IFERROR(AN30/AJ30,"")</f>
        <v>0.3333333333333333</v>
      </c>
      <c r="AP30" s="24">
        <v>2.0</v>
      </c>
      <c r="AQ30" s="21">
        <v>0.0</v>
      </c>
      <c r="AR30" s="24"/>
      <c r="AS30" s="21">
        <v>0.0</v>
      </c>
      <c r="AT30" s="21">
        <v>0.0</v>
      </c>
      <c r="AU30" s="21">
        <v>1.0</v>
      </c>
      <c r="AV30" s="24"/>
      <c r="AW30" s="21"/>
      <c r="AX30" s="20">
        <v>1.0</v>
      </c>
      <c r="AY30" s="21">
        <f>IFERROR(AX30/U30,"")</f>
        <v>0.25</v>
      </c>
      <c r="AZ30" s="20">
        <v>0.0</v>
      </c>
      <c r="BA30" s="21">
        <v>0.0</v>
      </c>
      <c r="BB30" s="20">
        <v>0.0</v>
      </c>
      <c r="BC30" s="21">
        <f>IFERROR(BB30/AX30,"")</f>
        <v>0.0</v>
      </c>
      <c r="BD30" s="24"/>
      <c r="BE30" s="21"/>
      <c r="BF30" s="24"/>
      <c r="BG30" s="21">
        <v>0.0</v>
      </c>
      <c r="BH30" s="21">
        <v>0.0</v>
      </c>
      <c r="BI30" s="21">
        <v>1.0</v>
      </c>
      <c r="BJ30" s="24"/>
      <c r="BK30" s="21"/>
      <c r="BL30" s="22">
        <v>0.0</v>
      </c>
      <c r="BM30" s="20">
        <v>0.0</v>
      </c>
      <c r="BN30" s="21" t="str">
        <f>IFERROR(BM30/BL30,"")</f>
        <v/>
      </c>
      <c r="BO30" s="24"/>
      <c r="BP30" s="21"/>
      <c r="BQ30" s="24"/>
      <c r="BR30" s="21"/>
      <c r="BS30" s="21"/>
      <c r="BT30" s="21"/>
      <c r="BU30" s="24"/>
      <c r="BV30" s="21"/>
      <c r="BW30" s="22">
        <v>6.0</v>
      </c>
      <c r="BX30" s="20">
        <v>5.0</v>
      </c>
      <c r="BY30" s="21">
        <f>IFERROR(BX30/BW30,"")</f>
        <v>0.8333333333333334</v>
      </c>
      <c r="BZ30" s="24">
        <v>1.4</v>
      </c>
      <c r="CA30" s="21">
        <v>0.14285714285714285</v>
      </c>
      <c r="CB30" s="24">
        <v>2.5166666666666666</v>
      </c>
      <c r="CC30" s="21">
        <v>0.0</v>
      </c>
      <c r="CD30" s="21">
        <v>0.0</v>
      </c>
      <c r="CE30" s="21">
        <v>0.6666666666666666</v>
      </c>
      <c r="CF30" s="24"/>
      <c r="CG30" s="21"/>
    </row>
    <row r="31" spans="1:85" s="14" customFormat="1" ht="18.6" customHeight="1">
      <c r="A31" s="14"/>
      <c r="B31" s="20"/>
      <c r="C31" s="20" t="s">
        <v>99</v>
      </c>
      <c r="D31" s="21"/>
      <c r="E31" s="21">
        <f>IFERROR(H31/G31,"")</f>
        <v>0.08333333333333333</v>
      </c>
      <c r="F31" s="21">
        <f>IFERROR(I31/G31,"")</f>
        <v>0.0</v>
      </c>
      <c r="G31" s="20">
        <v>204.0</v>
      </c>
      <c r="H31" s="22">
        <v>17.0</v>
      </c>
      <c r="I31" s="22">
        <v>0.0</v>
      </c>
      <c r="J31" s="22">
        <v>5.0</v>
      </c>
      <c r="K31" s="34">
        <f>J31/H31</f>
        <v>0.29411764705882354</v>
      </c>
      <c r="L31" s="30">
        <f>IF(E31-D31&lt;0,0,CEILING((E31-D31)*G31,1))</f>
        <v>17.0</v>
      </c>
      <c r="M31" s="23">
        <v>2.0</v>
      </c>
      <c r="N31" s="23">
        <v>0.0</v>
      </c>
      <c r="O31" s="22"/>
      <c r="P31" s="22"/>
      <c r="Q31" s="22"/>
      <c r="R31" s="21"/>
      <c r="S31" s="23"/>
      <c r="T31" s="31"/>
      <c r="U31" s="22">
        <v>7.0</v>
      </c>
      <c r="V31" s="22">
        <v>0.0</v>
      </c>
      <c r="W31" s="22">
        <v>0.0</v>
      </c>
      <c r="X31" s="22">
        <v>0.0</v>
      </c>
      <c r="Y31" s="34">
        <v>0.0</v>
      </c>
      <c r="Z31" s="20">
        <v>2.0</v>
      </c>
      <c r="AA31" s="21">
        <f>IFERROR(Z31/U31,"")</f>
        <v>0.2857142857142857</v>
      </c>
      <c r="AB31" s="24">
        <v>1.0</v>
      </c>
      <c r="AC31" s="21">
        <v>0.0</v>
      </c>
      <c r="AD31" s="24"/>
      <c r="AE31" s="21">
        <v>0.0</v>
      </c>
      <c r="AF31" s="21">
        <v>0.0</v>
      </c>
      <c r="AG31" s="21">
        <v>0.5714285714285714</v>
      </c>
      <c r="AH31" s="24"/>
      <c r="AI31" s="21"/>
      <c r="AJ31" s="20">
        <v>6.0</v>
      </c>
      <c r="AK31" s="21">
        <f>IFERROR(AJ31/U31,"")</f>
        <v>0.8571428571428571</v>
      </c>
      <c r="AL31" s="20">
        <v>0.0</v>
      </c>
      <c r="AM31" s="21">
        <v>0.0</v>
      </c>
      <c r="AN31" s="20">
        <v>2.0</v>
      </c>
      <c r="AO31" s="21">
        <f>IFERROR(AN31/AJ31,"")</f>
        <v>0.3333333333333333</v>
      </c>
      <c r="AP31" s="24">
        <v>1.0</v>
      </c>
      <c r="AQ31" s="21">
        <v>0.0</v>
      </c>
      <c r="AR31" s="24"/>
      <c r="AS31" s="21">
        <v>0.0</v>
      </c>
      <c r="AT31" s="21">
        <v>0.0</v>
      </c>
      <c r="AU31" s="21">
        <v>0.6666666666666666</v>
      </c>
      <c r="AV31" s="24"/>
      <c r="AW31" s="21"/>
      <c r="AX31" s="20">
        <v>1.0</v>
      </c>
      <c r="AY31" s="21">
        <f>IFERROR(AX31/U31,"")</f>
        <v>0.14285714285714285</v>
      </c>
      <c r="AZ31" s="20">
        <v>0.0</v>
      </c>
      <c r="BA31" s="21">
        <v>0.0</v>
      </c>
      <c r="BB31" s="20">
        <v>0.0</v>
      </c>
      <c r="BC31" s="21">
        <f>IFERROR(BB31/AX31,"")</f>
        <v>0.0</v>
      </c>
      <c r="BD31" s="24"/>
      <c r="BE31" s="21"/>
      <c r="BF31" s="24"/>
      <c r="BG31" s="21">
        <v>0.0</v>
      </c>
      <c r="BH31" s="21">
        <v>0.0</v>
      </c>
      <c r="BI31" s="21">
        <v>0.0</v>
      </c>
      <c r="BJ31" s="24"/>
      <c r="BK31" s="21"/>
      <c r="BL31" s="22">
        <v>0.0</v>
      </c>
      <c r="BM31" s="20">
        <v>0.0</v>
      </c>
      <c r="BN31" s="21" t="str">
        <f>IFERROR(BM31/BL31,"")</f>
        <v/>
      </c>
      <c r="BO31" s="24"/>
      <c r="BP31" s="21"/>
      <c r="BQ31" s="24"/>
      <c r="BR31" s="21"/>
      <c r="BS31" s="21"/>
      <c r="BT31" s="21"/>
      <c r="BU31" s="24"/>
      <c r="BV31" s="21"/>
      <c r="BW31" s="22">
        <v>7.0</v>
      </c>
      <c r="BX31" s="20">
        <v>5.0</v>
      </c>
      <c r="BY31" s="21">
        <f>IFERROR(BX31/BW31,"")</f>
        <v>0.7142857142857143</v>
      </c>
      <c r="BZ31" s="24">
        <v>1.4</v>
      </c>
      <c r="CA31" s="21">
        <v>0.0</v>
      </c>
      <c r="CB31" s="24"/>
      <c r="CC31" s="21">
        <v>0.0</v>
      </c>
      <c r="CD31" s="21">
        <v>0.0</v>
      </c>
      <c r="CE31" s="21">
        <v>1.0</v>
      </c>
      <c r="CF31" s="24"/>
      <c r="CG31" s="21"/>
    </row>
    <row r="32" spans="1:85" s="14" customFormat="1" ht="18.6" customHeight="1">
      <c r="A32" s="14"/>
      <c r="B32" s="20"/>
      <c r="C32" s="20" t="s">
        <v>100</v>
      </c>
      <c r="D32" s="21"/>
      <c r="E32" s="21">
        <f>IFERROR(H32/G32,"")</f>
        <v>0.05185185185185185</v>
      </c>
      <c r="F32" s="21">
        <f>IFERROR(I32/G32,"")</f>
        <v>0.0</v>
      </c>
      <c r="G32" s="20">
        <v>270.0</v>
      </c>
      <c r="H32" s="22">
        <v>14.0</v>
      </c>
      <c r="I32" s="22">
        <v>0.0</v>
      </c>
      <c r="J32" s="22">
        <v>5.0</v>
      </c>
      <c r="K32" s="34">
        <f>J32/H32</f>
        <v>0.35714285714285715</v>
      </c>
      <c r="L32" s="30">
        <f>IF(E32-D32&lt;0,0,CEILING((E32-D32)*G32,1))</f>
        <v>14.0</v>
      </c>
      <c r="M32" s="23">
        <v>2.0</v>
      </c>
      <c r="N32" s="23">
        <v>0.0</v>
      </c>
      <c r="O32" s="22"/>
      <c r="P32" s="22"/>
      <c r="Q32" s="22"/>
      <c r="R32" s="21"/>
      <c r="S32" s="23"/>
      <c r="T32" s="31"/>
      <c r="U32" s="22">
        <v>3.0</v>
      </c>
      <c r="V32" s="22">
        <v>0.0</v>
      </c>
      <c r="W32" s="22">
        <v>0.0</v>
      </c>
      <c r="X32" s="22">
        <v>0.0</v>
      </c>
      <c r="Y32" s="34">
        <v>0.0</v>
      </c>
      <c r="Z32" s="20">
        <v>0.0</v>
      </c>
      <c r="AA32" s="21">
        <f>IFERROR(Z32/U32,"")</f>
        <v>0.0</v>
      </c>
      <c r="AB32" s="24"/>
      <c r="AC32" s="21"/>
      <c r="AD32" s="24"/>
      <c r="AE32" s="21">
        <v>0.0</v>
      </c>
      <c r="AF32" s="21">
        <v>0.0</v>
      </c>
      <c r="AG32" s="21">
        <v>0.3333333333333333</v>
      </c>
      <c r="AH32" s="24"/>
      <c r="AI32" s="21"/>
      <c r="AJ32" s="20">
        <v>3.0</v>
      </c>
      <c r="AK32" s="21">
        <f>IFERROR(AJ32/U32,"")</f>
        <v>1.0</v>
      </c>
      <c r="AL32" s="20">
        <v>0.0</v>
      </c>
      <c r="AM32" s="21">
        <v>0.0</v>
      </c>
      <c r="AN32" s="20">
        <v>0.0</v>
      </c>
      <c r="AO32" s="21">
        <f>IFERROR(AN32/AJ32,"")</f>
        <v>0.0</v>
      </c>
      <c r="AP32" s="24"/>
      <c r="AQ32" s="21"/>
      <c r="AR32" s="24"/>
      <c r="AS32" s="21">
        <v>0.0</v>
      </c>
      <c r="AT32" s="21">
        <v>0.0</v>
      </c>
      <c r="AU32" s="21">
        <v>0.3333333333333333</v>
      </c>
      <c r="AV32" s="24"/>
      <c r="AW32" s="21"/>
      <c r="AX32" s="20">
        <v>0.0</v>
      </c>
      <c r="AY32" s="21">
        <f>IFERROR(AX32/U32,"")</f>
        <v>0.0</v>
      </c>
      <c r="AZ32" s="20"/>
      <c r="BA32" s="21"/>
      <c r="BB32" s="20">
        <v>0.0</v>
      </c>
      <c r="BC32" s="21" t="str">
        <f>IFERROR(BB32/AX32,"")</f>
        <v/>
      </c>
      <c r="BD32" s="24"/>
      <c r="BE32" s="21"/>
      <c r="BF32" s="24"/>
      <c r="BG32" s="21"/>
      <c r="BH32" s="21"/>
      <c r="BI32" s="21"/>
      <c r="BJ32" s="24"/>
      <c r="BK32" s="21"/>
      <c r="BL32" s="22">
        <v>0.0</v>
      </c>
      <c r="BM32" s="20">
        <v>0.0</v>
      </c>
      <c r="BN32" s="21" t="str">
        <f>IFERROR(BM32/BL32,"")</f>
        <v/>
      </c>
      <c r="BO32" s="24"/>
      <c r="BP32" s="21"/>
      <c r="BQ32" s="24"/>
      <c r="BR32" s="21"/>
      <c r="BS32" s="21"/>
      <c r="BT32" s="21"/>
      <c r="BU32" s="24"/>
      <c r="BV32" s="21"/>
      <c r="BW32" s="22">
        <v>15.0</v>
      </c>
      <c r="BX32" s="20">
        <v>10.0</v>
      </c>
      <c r="BY32" s="21">
        <f>IFERROR(BX32/BW32,"")</f>
        <v>0.6666666666666666</v>
      </c>
      <c r="BZ32" s="24">
        <v>1.5</v>
      </c>
      <c r="CA32" s="21">
        <v>0.2</v>
      </c>
      <c r="CB32" s="24">
        <v>2.5944444444444446</v>
      </c>
      <c r="CC32" s="21">
        <v>0.0</v>
      </c>
      <c r="CD32" s="21">
        <v>0.0</v>
      </c>
      <c r="CE32" s="21">
        <v>0.9333333333333333</v>
      </c>
      <c r="CF32" s="24"/>
      <c r="CG32" s="21"/>
    </row>
    <row r="33" spans="1:85" s="14" customFormat="1" ht="18.6" customHeight="1">
      <c r="A33" s="14"/>
      <c r="B33" s="20"/>
      <c r="C33" s="20" t="s">
        <v>101</v>
      </c>
      <c r="D33" s="21"/>
      <c r="E33" s="21">
        <f>IFERROR(H33/G33,"")</f>
        <v>0.06333333333333334</v>
      </c>
      <c r="F33" s="21">
        <f>IFERROR(I33/G33,"")</f>
        <v>0.0</v>
      </c>
      <c r="G33" s="20">
        <v>300.0</v>
      </c>
      <c r="H33" s="22">
        <v>19.0</v>
      </c>
      <c r="I33" s="22">
        <v>0.0</v>
      </c>
      <c r="J33" s="22">
        <v>7.0</v>
      </c>
      <c r="K33" s="34">
        <f>J33/H33</f>
        <v>0.3684210526315789</v>
      </c>
      <c r="L33" s="30">
        <f>IF(E33-D33&lt;0,0,CEILING((E33-D33)*G33,1))</f>
        <v>19.0</v>
      </c>
      <c r="M33" s="23">
        <v>1.0</v>
      </c>
      <c r="N33" s="23">
        <v>0.0</v>
      </c>
      <c r="O33" s="22"/>
      <c r="P33" s="22"/>
      <c r="Q33" s="22"/>
      <c r="R33" s="21"/>
      <c r="S33" s="23"/>
      <c r="T33" s="31"/>
      <c r="U33" s="22">
        <v>10.0</v>
      </c>
      <c r="V33" s="22">
        <v>0.0</v>
      </c>
      <c r="W33" s="22">
        <v>0.0</v>
      </c>
      <c r="X33" s="22">
        <v>0.0</v>
      </c>
      <c r="Y33" s="34">
        <v>0.0</v>
      </c>
      <c r="Z33" s="20">
        <v>5.0</v>
      </c>
      <c r="AA33" s="21">
        <f>IFERROR(Z33/U33,"")</f>
        <v>0.5</v>
      </c>
      <c r="AB33" s="24">
        <v>1.4</v>
      </c>
      <c r="AC33" s="21">
        <v>0.0</v>
      </c>
      <c r="AD33" s="24"/>
      <c r="AE33" s="21">
        <v>0.0</v>
      </c>
      <c r="AF33" s="21">
        <v>0.0</v>
      </c>
      <c r="AG33" s="21">
        <v>0.8</v>
      </c>
      <c r="AH33" s="24"/>
      <c r="AI33" s="21"/>
      <c r="AJ33" s="20">
        <v>9.0</v>
      </c>
      <c r="AK33" s="21">
        <f>IFERROR(AJ33/U33,"")</f>
        <v>0.9</v>
      </c>
      <c r="AL33" s="20">
        <v>0.0</v>
      </c>
      <c r="AM33" s="21">
        <v>0.0</v>
      </c>
      <c r="AN33" s="20">
        <v>5.0</v>
      </c>
      <c r="AO33" s="21">
        <f>IFERROR(AN33/AJ33,"")</f>
        <v>0.5555555555555556</v>
      </c>
      <c r="AP33" s="24">
        <v>1.4</v>
      </c>
      <c r="AQ33" s="21">
        <v>0.0</v>
      </c>
      <c r="AR33" s="24"/>
      <c r="AS33" s="21">
        <v>0.0</v>
      </c>
      <c r="AT33" s="21">
        <v>0.0</v>
      </c>
      <c r="AU33" s="21">
        <v>0.7777777777777778</v>
      </c>
      <c r="AV33" s="24"/>
      <c r="AW33" s="21"/>
      <c r="AX33" s="20">
        <v>1.0</v>
      </c>
      <c r="AY33" s="21">
        <f>IFERROR(AX33/U33,"")</f>
        <v>0.1</v>
      </c>
      <c r="AZ33" s="20">
        <v>0.0</v>
      </c>
      <c r="BA33" s="21">
        <v>0.0</v>
      </c>
      <c r="BB33" s="20">
        <v>0.0</v>
      </c>
      <c r="BC33" s="21">
        <f>IFERROR(BB33/AX33,"")</f>
        <v>0.0</v>
      </c>
      <c r="BD33" s="24"/>
      <c r="BE33" s="21"/>
      <c r="BF33" s="24"/>
      <c r="BG33" s="21">
        <v>0.0</v>
      </c>
      <c r="BH33" s="21">
        <v>0.0</v>
      </c>
      <c r="BI33" s="21">
        <v>1.0</v>
      </c>
      <c r="BJ33" s="24"/>
      <c r="BK33" s="21"/>
      <c r="BL33" s="22">
        <v>0.0</v>
      </c>
      <c r="BM33" s="20">
        <v>0.0</v>
      </c>
      <c r="BN33" s="21" t="str">
        <f>IFERROR(BM33/BL33,"")</f>
        <v/>
      </c>
      <c r="BO33" s="24"/>
      <c r="BP33" s="21"/>
      <c r="BQ33" s="24"/>
      <c r="BR33" s="21"/>
      <c r="BS33" s="21"/>
      <c r="BT33" s="21"/>
      <c r="BU33" s="24"/>
      <c r="BV33" s="21"/>
      <c r="BW33" s="22">
        <v>12.0</v>
      </c>
      <c r="BX33" s="20">
        <v>8.0</v>
      </c>
      <c r="BY33" s="21">
        <f>IFERROR(BX33/BW33,"")</f>
        <v>0.6666666666666666</v>
      </c>
      <c r="BZ33" s="24">
        <v>1.375</v>
      </c>
      <c r="CA33" s="21">
        <v>0.09090909090909091</v>
      </c>
      <c r="CB33" s="24">
        <v>19.8</v>
      </c>
      <c r="CC33" s="21">
        <v>0.0</v>
      </c>
      <c r="CD33" s="21">
        <v>0.0</v>
      </c>
      <c r="CE33" s="21">
        <v>0.75</v>
      </c>
      <c r="CF33" s="24"/>
      <c r="CG33" s="21"/>
    </row>
    <row r="34" spans="1:85" s="14" customFormat="1" ht="18.6" customHeight="1">
      <c r="A34" s="14"/>
      <c r="B34" s="20"/>
      <c r="C34" s="20" t="s">
        <v>102</v>
      </c>
      <c r="D34" s="21"/>
      <c r="E34" s="21">
        <f>IFERROR(H34/G34,"")</f>
        <v>0.044444444444444446</v>
      </c>
      <c r="F34" s="21">
        <f>IFERROR(I34/G34,"")</f>
        <v>0.0</v>
      </c>
      <c r="G34" s="20">
        <v>270.0</v>
      </c>
      <c r="H34" s="22">
        <v>12.0</v>
      </c>
      <c r="I34" s="22">
        <v>0.0</v>
      </c>
      <c r="J34" s="22">
        <v>7.0</v>
      </c>
      <c r="K34" s="34">
        <f>J34/H34</f>
        <v>0.5833333333333334</v>
      </c>
      <c r="L34" s="30">
        <f>IF(E34-D34&lt;0,0,CEILING((E34-D34)*G34,1))</f>
        <v>12.0</v>
      </c>
      <c r="M34" s="23">
        <v>4.0</v>
      </c>
      <c r="N34" s="23">
        <v>0.0</v>
      </c>
      <c r="O34" s="22"/>
      <c r="P34" s="22"/>
      <c r="Q34" s="22"/>
      <c r="R34" s="21"/>
      <c r="S34" s="23"/>
      <c r="T34" s="31"/>
      <c r="U34" s="22">
        <v>4.0</v>
      </c>
      <c r="V34" s="22">
        <v>0.0</v>
      </c>
      <c r="W34" s="22">
        <v>0.0</v>
      </c>
      <c r="X34" s="22">
        <v>0.0</v>
      </c>
      <c r="Y34" s="34">
        <v>0.0</v>
      </c>
      <c r="Z34" s="20">
        <v>4.0</v>
      </c>
      <c r="AA34" s="21">
        <f>IFERROR(Z34/U34,"")</f>
        <v>1.0</v>
      </c>
      <c r="AB34" s="24">
        <v>1.0</v>
      </c>
      <c r="AC34" s="21">
        <v>0.0</v>
      </c>
      <c r="AD34" s="24"/>
      <c r="AE34" s="21">
        <v>0.0</v>
      </c>
      <c r="AF34" s="21">
        <v>0.0</v>
      </c>
      <c r="AG34" s="21">
        <v>0.75</v>
      </c>
      <c r="AH34" s="24"/>
      <c r="AI34" s="21"/>
      <c r="AJ34" s="20">
        <v>3.0</v>
      </c>
      <c r="AK34" s="21">
        <f>IFERROR(AJ34/U34,"")</f>
        <v>0.75</v>
      </c>
      <c r="AL34" s="20">
        <v>0.0</v>
      </c>
      <c r="AM34" s="21">
        <v>0.0</v>
      </c>
      <c r="AN34" s="20">
        <v>3.0</v>
      </c>
      <c r="AO34" s="21">
        <f>IFERROR(AN34/AJ34,"")</f>
        <v>1.0</v>
      </c>
      <c r="AP34" s="24">
        <v>1.0</v>
      </c>
      <c r="AQ34" s="21">
        <v>0.0</v>
      </c>
      <c r="AR34" s="24"/>
      <c r="AS34" s="21">
        <v>0.0</v>
      </c>
      <c r="AT34" s="21">
        <v>0.0</v>
      </c>
      <c r="AU34" s="21">
        <v>0.6666666666666666</v>
      </c>
      <c r="AV34" s="24"/>
      <c r="AW34" s="21"/>
      <c r="AX34" s="20">
        <v>1.0</v>
      </c>
      <c r="AY34" s="21">
        <f>IFERROR(AX34/U34,"")</f>
        <v>0.25</v>
      </c>
      <c r="AZ34" s="20">
        <v>0.0</v>
      </c>
      <c r="BA34" s="21">
        <v>0.0</v>
      </c>
      <c r="BB34" s="20">
        <v>1.0</v>
      </c>
      <c r="BC34" s="21">
        <f>IFERROR(BB34/AX34,"")</f>
        <v>1.0</v>
      </c>
      <c r="BD34" s="24">
        <v>1.0</v>
      </c>
      <c r="BE34" s="21">
        <v>0.0</v>
      </c>
      <c r="BF34" s="24"/>
      <c r="BG34" s="21">
        <v>0.0</v>
      </c>
      <c r="BH34" s="21">
        <v>0.0</v>
      </c>
      <c r="BI34" s="21">
        <v>1.0</v>
      </c>
      <c r="BJ34" s="24"/>
      <c r="BK34" s="21"/>
      <c r="BL34" s="22">
        <v>0.0</v>
      </c>
      <c r="BM34" s="20">
        <v>0.0</v>
      </c>
      <c r="BN34" s="21" t="str">
        <f>IFERROR(BM34/BL34,"")</f>
        <v/>
      </c>
      <c r="BO34" s="24"/>
      <c r="BP34" s="21"/>
      <c r="BQ34" s="24"/>
      <c r="BR34" s="21"/>
      <c r="BS34" s="21"/>
      <c r="BT34" s="21"/>
      <c r="BU34" s="24"/>
      <c r="BV34" s="21"/>
      <c r="BW34" s="22">
        <v>13.0</v>
      </c>
      <c r="BX34" s="20">
        <v>6.0</v>
      </c>
      <c r="BY34" s="21">
        <f>IFERROR(BX34/BW34,"")</f>
        <v>0.46153846153846156</v>
      </c>
      <c r="BZ34" s="24">
        <v>1.1666666666666667</v>
      </c>
      <c r="CA34" s="21">
        <v>0.14285714285714285</v>
      </c>
      <c r="CB34" s="24">
        <v>2.1166666666666667</v>
      </c>
      <c r="CC34" s="21">
        <v>0.0</v>
      </c>
      <c r="CD34" s="21">
        <v>0.0</v>
      </c>
      <c r="CE34" s="21">
        <v>0.9230769230769231</v>
      </c>
      <c r="CF34" s="24"/>
      <c r="CG34" s="21"/>
    </row>
    <row r="35" spans="1:85" s="14" customFormat="1" ht="18.6" customHeight="1">
      <c r="A35" s="14"/>
      <c r="B35" s="20"/>
      <c r="C35" s="20" t="s">
        <v>103</v>
      </c>
      <c r="D35" s="21"/>
      <c r="E35" s="21">
        <f>IFERROR(H35/G35,"")</f>
        <v>0.07692307692307693</v>
      </c>
      <c r="F35" s="21">
        <f>IFERROR(I35/G35,"")</f>
        <v>0.0</v>
      </c>
      <c r="G35" s="20">
        <v>26.0</v>
      </c>
      <c r="H35" s="22">
        <v>2.0</v>
      </c>
      <c r="I35" s="22">
        <v>0.0</v>
      </c>
      <c r="J35" s="22">
        <v>0.0</v>
      </c>
      <c r="K35" s="34">
        <f>J35/H35</f>
        <v>0.0</v>
      </c>
      <c r="L35" s="30">
        <f>IF(E35-D35&lt;0,0,CEILING((E35-D35)*G35,1))</f>
        <v>2.0</v>
      </c>
      <c r="M35" s="23">
        <v>0.0</v>
      </c>
      <c r="N35" s="23">
        <v>0.0</v>
      </c>
      <c r="O35" s="22"/>
      <c r="P35" s="22"/>
      <c r="Q35" s="22"/>
      <c r="R35" s="21"/>
      <c r="S35" s="23"/>
      <c r="T35" s="31"/>
      <c r="U35" s="22">
        <v>2.0</v>
      </c>
      <c r="V35" s="22">
        <v>0.0</v>
      </c>
      <c r="W35" s="22">
        <v>0.0</v>
      </c>
      <c r="X35" s="22">
        <v>0.0</v>
      </c>
      <c r="Y35" s="34">
        <v>0.0</v>
      </c>
      <c r="Z35" s="20">
        <v>2.0</v>
      </c>
      <c r="AA35" s="21">
        <f>IFERROR(Z35/U35,"")</f>
        <v>1.0</v>
      </c>
      <c r="AB35" s="24">
        <v>2.5</v>
      </c>
      <c r="AC35" s="21">
        <v>0.2</v>
      </c>
      <c r="AD35" s="24">
        <v>6.083333333333333</v>
      </c>
      <c r="AE35" s="21">
        <v>0.0</v>
      </c>
      <c r="AF35" s="21">
        <v>0.0</v>
      </c>
      <c r="AG35" s="21">
        <v>1.0</v>
      </c>
      <c r="AH35" s="24"/>
      <c r="AI35" s="21"/>
      <c r="AJ35" s="20">
        <v>2.0</v>
      </c>
      <c r="AK35" s="21">
        <f>IFERROR(AJ35/U35,"")</f>
        <v>1.0</v>
      </c>
      <c r="AL35" s="20">
        <v>0.0</v>
      </c>
      <c r="AM35" s="21">
        <v>0.0</v>
      </c>
      <c r="AN35" s="20">
        <v>2.0</v>
      </c>
      <c r="AO35" s="21">
        <f>IFERROR(AN35/AJ35,"")</f>
        <v>1.0</v>
      </c>
      <c r="AP35" s="24">
        <v>2.5</v>
      </c>
      <c r="AQ35" s="21">
        <v>0.2</v>
      </c>
      <c r="AR35" s="24">
        <v>6.083333333333333</v>
      </c>
      <c r="AS35" s="21">
        <v>0.0</v>
      </c>
      <c r="AT35" s="21">
        <v>0.0</v>
      </c>
      <c r="AU35" s="21">
        <v>1.0</v>
      </c>
      <c r="AV35" s="24"/>
      <c r="AW35" s="21"/>
      <c r="AX35" s="20">
        <v>0.0</v>
      </c>
      <c r="AY35" s="21">
        <f>IFERROR(AX35/U35,"")</f>
        <v>0.0</v>
      </c>
      <c r="AZ35" s="20"/>
      <c r="BA35" s="21"/>
      <c r="BB35" s="20">
        <v>0.0</v>
      </c>
      <c r="BC35" s="21" t="str">
        <f>IFERROR(BB35/AX35,"")</f>
        <v/>
      </c>
      <c r="BD35" s="24"/>
      <c r="BE35" s="21"/>
      <c r="BF35" s="24"/>
      <c r="BG35" s="21"/>
      <c r="BH35" s="21"/>
      <c r="BI35" s="21"/>
      <c r="BJ35" s="24"/>
      <c r="BK35" s="21"/>
      <c r="BL35" s="22">
        <v>0.0</v>
      </c>
      <c r="BM35" s="20">
        <v>0.0</v>
      </c>
      <c r="BN35" s="21" t="str">
        <f>IFERROR(BM35/BL35,"")</f>
        <v/>
      </c>
      <c r="BO35" s="24"/>
      <c r="BP35" s="21"/>
      <c r="BQ35" s="24"/>
      <c r="BR35" s="21"/>
      <c r="BS35" s="21"/>
      <c r="BT35" s="21"/>
      <c r="BU35" s="24"/>
      <c r="BV35" s="21"/>
      <c r="BW35" s="22">
        <v>2.0</v>
      </c>
      <c r="BX35" s="20">
        <v>2.0</v>
      </c>
      <c r="BY35" s="21">
        <f>IFERROR(BX35/BW35,"")</f>
        <v>1.0</v>
      </c>
      <c r="BZ35" s="24">
        <v>1.5</v>
      </c>
      <c r="CA35" s="21">
        <v>0.3333333333333333</v>
      </c>
      <c r="CB35" s="24">
        <v>2.4833333333333334</v>
      </c>
      <c r="CC35" s="21">
        <v>0.0</v>
      </c>
      <c r="CD35" s="21">
        <v>0.0</v>
      </c>
      <c r="CE35" s="21">
        <v>0.5</v>
      </c>
      <c r="CF35" s="24"/>
      <c r="CG35" s="21"/>
    </row>
    <row r="36" spans="1:85" s="14" customFormat="1" ht="18.6" customHeight="1">
      <c r="A36" s="14"/>
      <c r="B36" s="20"/>
      <c r="C36" s="20" t="s">
        <v>104</v>
      </c>
      <c r="D36" s="21"/>
      <c r="E36" s="21">
        <f>IFERROR(H36/G36,"")</f>
        <v>0.07777777777777778</v>
      </c>
      <c r="F36" s="21">
        <f>IFERROR(I36/G36,"")</f>
        <v>0.0</v>
      </c>
      <c r="G36" s="20">
        <v>90.0</v>
      </c>
      <c r="H36" s="22">
        <v>7.0</v>
      </c>
      <c r="I36" s="22">
        <v>0.0</v>
      </c>
      <c r="J36" s="22">
        <v>0.0</v>
      </c>
      <c r="K36" s="34">
        <f>J36/H36</f>
        <v>0.0</v>
      </c>
      <c r="L36" s="30">
        <f>IF(E36-D36&lt;0,0,CEILING((E36-D36)*G36,1))</f>
        <v>7.0</v>
      </c>
      <c r="M36" s="23">
        <v>0.0</v>
      </c>
      <c r="N36" s="23">
        <v>0.0</v>
      </c>
      <c r="O36" s="22"/>
      <c r="P36" s="22"/>
      <c r="Q36" s="22"/>
      <c r="R36" s="21"/>
      <c r="S36" s="23"/>
      <c r="T36" s="31"/>
      <c r="U36" s="22">
        <v>3.0</v>
      </c>
      <c r="V36" s="22">
        <v>0.0</v>
      </c>
      <c r="W36" s="22">
        <v>0.0</v>
      </c>
      <c r="X36" s="22">
        <v>1.0</v>
      </c>
      <c r="Y36" s="34">
        <v>0.3333333333333333</v>
      </c>
      <c r="Z36" s="20">
        <v>3.0</v>
      </c>
      <c r="AA36" s="21">
        <f>IFERROR(Z36/U36,"")</f>
        <v>1.0</v>
      </c>
      <c r="AB36" s="24">
        <v>1.3333333333333333</v>
      </c>
      <c r="AC36" s="21">
        <v>0.0</v>
      </c>
      <c r="AD36" s="24"/>
      <c r="AE36" s="21">
        <v>0.0</v>
      </c>
      <c r="AF36" s="21">
        <v>0.0</v>
      </c>
      <c r="AG36" s="21">
        <v>1.0</v>
      </c>
      <c r="AH36" s="24"/>
      <c r="AI36" s="21"/>
      <c r="AJ36" s="20">
        <v>2.0</v>
      </c>
      <c r="AK36" s="21">
        <f>IFERROR(AJ36/U36,"")</f>
        <v>0.6666666666666666</v>
      </c>
      <c r="AL36" s="20">
        <v>1.0</v>
      </c>
      <c r="AM36" s="21">
        <v>0.5</v>
      </c>
      <c r="AN36" s="20">
        <v>2.0</v>
      </c>
      <c r="AO36" s="21">
        <f>IFERROR(AN36/AJ36,"")</f>
        <v>1.0</v>
      </c>
      <c r="AP36" s="24">
        <v>1.5</v>
      </c>
      <c r="AQ36" s="21">
        <v>0.0</v>
      </c>
      <c r="AR36" s="24"/>
      <c r="AS36" s="21">
        <v>0.0</v>
      </c>
      <c r="AT36" s="21">
        <v>0.0</v>
      </c>
      <c r="AU36" s="21">
        <v>1.0</v>
      </c>
      <c r="AV36" s="24"/>
      <c r="AW36" s="21"/>
      <c r="AX36" s="20">
        <v>1.0</v>
      </c>
      <c r="AY36" s="21">
        <f>IFERROR(AX36/U36,"")</f>
        <v>0.3333333333333333</v>
      </c>
      <c r="AZ36" s="20">
        <v>0.0</v>
      </c>
      <c r="BA36" s="21">
        <v>0.0</v>
      </c>
      <c r="BB36" s="20">
        <v>1.0</v>
      </c>
      <c r="BC36" s="21">
        <f>IFERROR(BB36/AX36,"")</f>
        <v>1.0</v>
      </c>
      <c r="BD36" s="24">
        <v>1.0</v>
      </c>
      <c r="BE36" s="21">
        <v>0.0</v>
      </c>
      <c r="BF36" s="24"/>
      <c r="BG36" s="21">
        <v>0.0</v>
      </c>
      <c r="BH36" s="21">
        <v>0.0</v>
      </c>
      <c r="BI36" s="21">
        <v>1.0</v>
      </c>
      <c r="BJ36" s="24"/>
      <c r="BK36" s="21"/>
      <c r="BL36" s="22">
        <v>0.0</v>
      </c>
      <c r="BM36" s="20">
        <v>0.0</v>
      </c>
      <c r="BN36" s="21" t="str">
        <f>IFERROR(BM36/BL36,"")</f>
        <v/>
      </c>
      <c r="BO36" s="24"/>
      <c r="BP36" s="21"/>
      <c r="BQ36" s="24"/>
      <c r="BR36" s="21"/>
      <c r="BS36" s="21"/>
      <c r="BT36" s="21"/>
      <c r="BU36" s="24"/>
      <c r="BV36" s="21"/>
      <c r="BW36" s="22">
        <v>0.0</v>
      </c>
      <c r="BX36" s="20">
        <v>0.0</v>
      </c>
      <c r="BY36" s="21" t="str">
        <f>IFERROR(BX36/BW36,"")</f>
        <v/>
      </c>
      <c r="BZ36" s="24"/>
      <c r="CA36" s="21"/>
      <c r="CB36" s="24"/>
      <c r="CC36" s="21"/>
      <c r="CD36" s="21"/>
      <c r="CE36" s="21"/>
      <c r="CF36" s="24"/>
      <c r="CG36" s="21"/>
    </row>
    <row r="37" spans="1:85" s="14" customFormat="1" ht="18.6" customHeight="1">
      <c r="A37" s="14"/>
      <c r="B37" s="20"/>
      <c r="C37" s="20" t="s">
        <v>105</v>
      </c>
      <c r="D37" s="21"/>
      <c r="E37" s="21">
        <f>IFERROR(H37/G37,"")</f>
        <v>0.0438871473354232</v>
      </c>
      <c r="F37" s="21">
        <f>IFERROR(I37/G37,"")</f>
        <v>0.0</v>
      </c>
      <c r="G37" s="20">
        <v>319.0</v>
      </c>
      <c r="H37" s="22">
        <v>14.0</v>
      </c>
      <c r="I37" s="22">
        <v>0.0</v>
      </c>
      <c r="J37" s="22">
        <v>5.0</v>
      </c>
      <c r="K37" s="34">
        <f>J37/H37</f>
        <v>0.35714285714285715</v>
      </c>
      <c r="L37" s="30">
        <f>IF(E37-D37&lt;0,0,CEILING((E37-D37)*G37,1))</f>
        <v>14.0</v>
      </c>
      <c r="M37" s="23">
        <v>0.0</v>
      </c>
      <c r="N37" s="23">
        <v>0.0</v>
      </c>
      <c r="O37" s="22"/>
      <c r="P37" s="22"/>
      <c r="Q37" s="22"/>
      <c r="R37" s="21"/>
      <c r="S37" s="23"/>
      <c r="T37" s="31"/>
      <c r="U37" s="22">
        <v>8.0</v>
      </c>
      <c r="V37" s="22">
        <v>0.0</v>
      </c>
      <c r="W37" s="22">
        <v>0.0</v>
      </c>
      <c r="X37" s="22">
        <v>2.0</v>
      </c>
      <c r="Y37" s="34">
        <v>0.25</v>
      </c>
      <c r="Z37" s="20">
        <v>3.0</v>
      </c>
      <c r="AA37" s="21">
        <f>IFERROR(Z37/U37,"")</f>
        <v>0.375</v>
      </c>
      <c r="AB37" s="24">
        <v>1.6666666666666667</v>
      </c>
      <c r="AC37" s="21">
        <v>0.2</v>
      </c>
      <c r="AD37" s="24">
        <v>1.55</v>
      </c>
      <c r="AE37" s="21">
        <v>0.0</v>
      </c>
      <c r="AF37" s="21">
        <v>0.0</v>
      </c>
      <c r="AG37" s="21">
        <v>0.875</v>
      </c>
      <c r="AH37" s="24"/>
      <c r="AI37" s="21"/>
      <c r="AJ37" s="20">
        <v>7.0</v>
      </c>
      <c r="AK37" s="21">
        <f>IFERROR(AJ37/U37,"")</f>
        <v>0.875</v>
      </c>
      <c r="AL37" s="20">
        <v>2.0</v>
      </c>
      <c r="AM37" s="21">
        <v>0.2857142857142857</v>
      </c>
      <c r="AN37" s="20">
        <v>3.0</v>
      </c>
      <c r="AO37" s="21">
        <f>IFERROR(AN37/AJ37,"")</f>
        <v>0.42857142857142855</v>
      </c>
      <c r="AP37" s="24">
        <v>1.6666666666666667</v>
      </c>
      <c r="AQ37" s="21">
        <v>0.2</v>
      </c>
      <c r="AR37" s="24">
        <v>1.55</v>
      </c>
      <c r="AS37" s="21">
        <v>0.0</v>
      </c>
      <c r="AT37" s="21">
        <v>0.0</v>
      </c>
      <c r="AU37" s="21">
        <v>1.0</v>
      </c>
      <c r="AV37" s="24"/>
      <c r="AW37" s="21"/>
      <c r="AX37" s="20">
        <v>1.0</v>
      </c>
      <c r="AY37" s="21">
        <f>IFERROR(AX37/U37,"")</f>
        <v>0.125</v>
      </c>
      <c r="AZ37" s="20">
        <v>0.0</v>
      </c>
      <c r="BA37" s="21">
        <v>0.0</v>
      </c>
      <c r="BB37" s="20">
        <v>0.0</v>
      </c>
      <c r="BC37" s="21">
        <f>IFERROR(BB37/AX37,"")</f>
        <v>0.0</v>
      </c>
      <c r="BD37" s="24"/>
      <c r="BE37" s="21"/>
      <c r="BF37" s="24"/>
      <c r="BG37" s="21">
        <v>0.0</v>
      </c>
      <c r="BH37" s="21">
        <v>0.0</v>
      </c>
      <c r="BI37" s="21">
        <v>0.0</v>
      </c>
      <c r="BJ37" s="24"/>
      <c r="BK37" s="21"/>
      <c r="BL37" s="22">
        <v>0.0</v>
      </c>
      <c r="BM37" s="20">
        <v>0.0</v>
      </c>
      <c r="BN37" s="21" t="str">
        <f>IFERROR(BM37/BL37,"")</f>
        <v/>
      </c>
      <c r="BO37" s="24"/>
      <c r="BP37" s="21"/>
      <c r="BQ37" s="24"/>
      <c r="BR37" s="21"/>
      <c r="BS37" s="21"/>
      <c r="BT37" s="21"/>
      <c r="BU37" s="24"/>
      <c r="BV37" s="21"/>
      <c r="BW37" s="22">
        <v>10.0</v>
      </c>
      <c r="BX37" s="20">
        <v>6.0</v>
      </c>
      <c r="BY37" s="21">
        <f>IFERROR(BX37/BW37,"")</f>
        <v>0.6</v>
      </c>
      <c r="BZ37" s="24">
        <v>1.1666666666666667</v>
      </c>
      <c r="CA37" s="21">
        <v>0.2857142857142857</v>
      </c>
      <c r="CB37" s="24">
        <v>4.716666666666667</v>
      </c>
      <c r="CC37" s="21">
        <v>0.0</v>
      </c>
      <c r="CD37" s="21">
        <v>0.0</v>
      </c>
      <c r="CE37" s="21">
        <v>0.9</v>
      </c>
      <c r="CF37" s="24"/>
      <c r="CG37" s="21"/>
    </row>
    <row r="38" spans="1:85" s="14" customFormat="1" ht="18.6" customHeight="1">
      <c r="A38" s="14"/>
      <c r="B38" s="20" t="s">
        <v>87</v>
      </c>
      <c r="C38" s="20" t="s">
        <v>106</v>
      </c>
      <c r="D38" s="21"/>
      <c r="E38" s="21">
        <f>IFERROR(H38/G38,"")</f>
        <v>0.05263157894736842</v>
      </c>
      <c r="F38" s="21">
        <f>IFERROR(I38/G38,"")</f>
        <v>0.0</v>
      </c>
      <c r="G38" s="20">
        <v>323.0</v>
      </c>
      <c r="H38" s="22">
        <v>17.0</v>
      </c>
      <c r="I38" s="22">
        <v>0.0</v>
      </c>
      <c r="J38" s="22">
        <v>5.0</v>
      </c>
      <c r="K38" s="34">
        <f>J38/H38</f>
        <v>0.29411764705882354</v>
      </c>
      <c r="L38" s="30">
        <f>IF(E38-D38&lt;0,0,CEILING((E38-D38)*G38,1))</f>
        <v>17.0</v>
      </c>
      <c r="M38" s="23">
        <v>1.0</v>
      </c>
      <c r="N38" s="23">
        <v>0.0</v>
      </c>
      <c r="O38" s="22"/>
      <c r="P38" s="22"/>
      <c r="Q38" s="22"/>
      <c r="R38" s="21"/>
      <c r="S38" s="23"/>
      <c r="T38" s="31"/>
      <c r="U38" s="22">
        <v>1.0</v>
      </c>
      <c r="V38" s="22">
        <v>0.0</v>
      </c>
      <c r="W38" s="22">
        <v>0.0</v>
      </c>
      <c r="X38" s="22">
        <v>0.0</v>
      </c>
      <c r="Y38" s="34">
        <v>0.0</v>
      </c>
      <c r="Z38" s="20">
        <v>0.0</v>
      </c>
      <c r="AA38" s="21">
        <f>IFERROR(Z38/U38,"")</f>
        <v>0.0</v>
      </c>
      <c r="AB38" s="24"/>
      <c r="AC38" s="21"/>
      <c r="AD38" s="24"/>
      <c r="AE38" s="21">
        <v>0.0</v>
      </c>
      <c r="AF38" s="21">
        <v>0.0</v>
      </c>
      <c r="AG38" s="21">
        <v>0.0</v>
      </c>
      <c r="AH38" s="24"/>
      <c r="AI38" s="21"/>
      <c r="AJ38" s="20">
        <v>1.0</v>
      </c>
      <c r="AK38" s="21">
        <f>IFERROR(AJ38/U38,"")</f>
        <v>1.0</v>
      </c>
      <c r="AL38" s="20">
        <v>0.0</v>
      </c>
      <c r="AM38" s="21">
        <v>0.0</v>
      </c>
      <c r="AN38" s="20">
        <v>0.0</v>
      </c>
      <c r="AO38" s="21">
        <f>IFERROR(AN38/AJ38,"")</f>
        <v>0.0</v>
      </c>
      <c r="AP38" s="24"/>
      <c r="AQ38" s="21"/>
      <c r="AR38" s="24"/>
      <c r="AS38" s="21">
        <v>0.0</v>
      </c>
      <c r="AT38" s="21">
        <v>0.0</v>
      </c>
      <c r="AU38" s="21">
        <v>0.0</v>
      </c>
      <c r="AV38" s="24"/>
      <c r="AW38" s="21"/>
      <c r="AX38" s="20">
        <v>0.0</v>
      </c>
      <c r="AY38" s="21">
        <f>IFERROR(AX38/U38,"")</f>
        <v>0.0</v>
      </c>
      <c r="AZ38" s="20"/>
      <c r="BA38" s="21"/>
      <c r="BB38" s="20">
        <v>0.0</v>
      </c>
      <c r="BC38" s="21" t="str">
        <f>IFERROR(BB38/AX38,"")</f>
        <v/>
      </c>
      <c r="BD38" s="24"/>
      <c r="BE38" s="21"/>
      <c r="BF38" s="24"/>
      <c r="BG38" s="21"/>
      <c r="BH38" s="21"/>
      <c r="BI38" s="21"/>
      <c r="BJ38" s="24"/>
      <c r="BK38" s="21"/>
      <c r="BL38" s="22">
        <v>1.0</v>
      </c>
      <c r="BM38" s="20">
        <v>0.0</v>
      </c>
      <c r="BN38" s="21">
        <f>IFERROR(BM38/BL38,"")</f>
        <v>0.0</v>
      </c>
      <c r="BO38" s="24"/>
      <c r="BP38" s="21"/>
      <c r="BQ38" s="24"/>
      <c r="BR38" s="21">
        <v>0.0</v>
      </c>
      <c r="BS38" s="21">
        <v>0.0</v>
      </c>
      <c r="BT38" s="21">
        <v>1.0</v>
      </c>
      <c r="BU38" s="24"/>
      <c r="BV38" s="21"/>
      <c r="BW38" s="22">
        <v>14.0</v>
      </c>
      <c r="BX38" s="20">
        <v>4.0</v>
      </c>
      <c r="BY38" s="21">
        <f>IFERROR(BX38/BW38,"")</f>
        <v>0.2857142857142857</v>
      </c>
      <c r="BZ38" s="24">
        <v>1.25</v>
      </c>
      <c r="CA38" s="21">
        <v>0.2</v>
      </c>
      <c r="CB38" s="24">
        <v>1.2333333333333334</v>
      </c>
      <c r="CC38" s="21">
        <v>0.0</v>
      </c>
      <c r="CD38" s="21">
        <v>0.0</v>
      </c>
      <c r="CE38" s="21">
        <v>0.8571428571428571</v>
      </c>
      <c r="CF38" s="24"/>
      <c r="CG38" s="21"/>
    </row>
    <row r="39" spans="1:85" s="14" customFormat="1" ht="18.6" customHeight="1">
      <c r="A39" s="14"/>
      <c r="B39" s="20"/>
      <c r="C39" s="20" t="s">
        <v>107</v>
      </c>
      <c r="D39" s="21"/>
      <c r="E39" s="21">
        <f>IFERROR(H39/G39,"")</f>
        <v>0.06806282722513089</v>
      </c>
      <c r="F39" s="21">
        <f>IFERROR(I39/G39,"")</f>
        <v>0.0</v>
      </c>
      <c r="G39" s="20">
        <v>191.0</v>
      </c>
      <c r="H39" s="22">
        <v>13.0</v>
      </c>
      <c r="I39" s="22">
        <v>0.0</v>
      </c>
      <c r="J39" s="22">
        <v>2.0</v>
      </c>
      <c r="K39" s="34">
        <f>J39/H39</f>
        <v>0.15384615384615385</v>
      </c>
      <c r="L39" s="30">
        <f>IF(E39-D39&lt;0,0,CEILING((E39-D39)*G39,1))</f>
        <v>13.0</v>
      </c>
      <c r="M39" s="23">
        <v>1.0</v>
      </c>
      <c r="N39" s="23">
        <v>0.0</v>
      </c>
      <c r="O39" s="22"/>
      <c r="P39" s="22"/>
      <c r="Q39" s="22"/>
      <c r="R39" s="21"/>
      <c r="S39" s="23"/>
      <c r="T39" s="31"/>
      <c r="U39" s="22">
        <v>5.0</v>
      </c>
      <c r="V39" s="22">
        <v>0.0</v>
      </c>
      <c r="W39" s="22">
        <v>0.0</v>
      </c>
      <c r="X39" s="22">
        <v>0.0</v>
      </c>
      <c r="Y39" s="34">
        <v>0.0</v>
      </c>
      <c r="Z39" s="20">
        <v>1.0</v>
      </c>
      <c r="AA39" s="21">
        <f>IFERROR(Z39/U39,"")</f>
        <v>0.2</v>
      </c>
      <c r="AB39" s="24">
        <v>1.0</v>
      </c>
      <c r="AC39" s="21">
        <v>0.0</v>
      </c>
      <c r="AD39" s="24"/>
      <c r="AE39" s="21">
        <v>0.0</v>
      </c>
      <c r="AF39" s="21">
        <v>0.0</v>
      </c>
      <c r="AG39" s="21">
        <v>1.0</v>
      </c>
      <c r="AH39" s="24"/>
      <c r="AI39" s="21"/>
      <c r="AJ39" s="20">
        <v>4.0</v>
      </c>
      <c r="AK39" s="21">
        <f>IFERROR(AJ39/U39,"")</f>
        <v>0.8</v>
      </c>
      <c r="AL39" s="20">
        <v>0.0</v>
      </c>
      <c r="AM39" s="21">
        <v>0.0</v>
      </c>
      <c r="AN39" s="20">
        <v>1.0</v>
      </c>
      <c r="AO39" s="21">
        <f>IFERROR(AN39/AJ39,"")</f>
        <v>0.25</v>
      </c>
      <c r="AP39" s="24">
        <v>1.0</v>
      </c>
      <c r="AQ39" s="21">
        <v>0.0</v>
      </c>
      <c r="AR39" s="24"/>
      <c r="AS39" s="21">
        <v>0.0</v>
      </c>
      <c r="AT39" s="21">
        <v>0.0</v>
      </c>
      <c r="AU39" s="21">
        <v>1.0</v>
      </c>
      <c r="AV39" s="24"/>
      <c r="AW39" s="21"/>
      <c r="AX39" s="20">
        <v>1.0</v>
      </c>
      <c r="AY39" s="21">
        <f>IFERROR(AX39/U39,"")</f>
        <v>0.2</v>
      </c>
      <c r="AZ39" s="20">
        <v>0.0</v>
      </c>
      <c r="BA39" s="21">
        <v>0.0</v>
      </c>
      <c r="BB39" s="20">
        <v>0.0</v>
      </c>
      <c r="BC39" s="21">
        <f>IFERROR(BB39/AX39,"")</f>
        <v>0.0</v>
      </c>
      <c r="BD39" s="24"/>
      <c r="BE39" s="21"/>
      <c r="BF39" s="24"/>
      <c r="BG39" s="21">
        <v>0.0</v>
      </c>
      <c r="BH39" s="21">
        <v>0.0</v>
      </c>
      <c r="BI39" s="21">
        <v>1.0</v>
      </c>
      <c r="BJ39" s="24"/>
      <c r="BK39" s="21"/>
      <c r="BL39" s="22">
        <v>1.0</v>
      </c>
      <c r="BM39" s="20">
        <v>0.0</v>
      </c>
      <c r="BN39" s="21">
        <f>IFERROR(BM39/BL39,"")</f>
        <v>0.0</v>
      </c>
      <c r="BO39" s="24"/>
      <c r="BP39" s="21"/>
      <c r="BQ39" s="24"/>
      <c r="BR39" s="21">
        <v>0.0</v>
      </c>
      <c r="BS39" s="21">
        <v>0.0</v>
      </c>
      <c r="BT39" s="21">
        <v>1.0</v>
      </c>
      <c r="BU39" s="24"/>
      <c r="BV39" s="21"/>
      <c r="BW39" s="22">
        <v>4.0</v>
      </c>
      <c r="BX39" s="20">
        <v>3.0</v>
      </c>
      <c r="BY39" s="21">
        <f>IFERROR(BX39/BW39,"")</f>
        <v>0.75</v>
      </c>
      <c r="BZ39" s="24">
        <v>1.0</v>
      </c>
      <c r="CA39" s="21">
        <v>0.0</v>
      </c>
      <c r="CB39" s="24"/>
      <c r="CC39" s="21">
        <v>0.0</v>
      </c>
      <c r="CD39" s="21">
        <v>0.0</v>
      </c>
      <c r="CE39" s="21">
        <v>1.0</v>
      </c>
      <c r="CF39" s="24"/>
      <c r="CG39" s="21"/>
    </row>
    <row r="40" spans="1:85" s="14" customFormat="1" ht="18.6" customHeight="1">
      <c r="A40" s="14"/>
      <c r="B40" s="20"/>
      <c r="C40" s="20" t="s">
        <v>108</v>
      </c>
      <c r="D40" s="21"/>
      <c r="E40" s="21">
        <f>IFERROR(H40/G40,"")</f>
        <v>0.06907894736842106</v>
      </c>
      <c r="F40" s="21">
        <f>IFERROR(I40/G40,"")</f>
        <v>0.0</v>
      </c>
      <c r="G40" s="20">
        <v>304.0</v>
      </c>
      <c r="H40" s="22">
        <v>21.0</v>
      </c>
      <c r="I40" s="22">
        <v>0.0</v>
      </c>
      <c r="J40" s="22">
        <v>4.0</v>
      </c>
      <c r="K40" s="34">
        <f>J40/H40</f>
        <v>0.19047619047619047</v>
      </c>
      <c r="L40" s="30">
        <f>IF(E40-D40&lt;0,0,CEILING((E40-D40)*G40,1))</f>
        <v>21.0</v>
      </c>
      <c r="M40" s="23">
        <v>4.0</v>
      </c>
      <c r="N40" s="23">
        <v>0.0</v>
      </c>
      <c r="O40" s="22"/>
      <c r="P40" s="22"/>
      <c r="Q40" s="22"/>
      <c r="R40" s="21"/>
      <c r="S40" s="23"/>
      <c r="T40" s="31"/>
      <c r="U40" s="22">
        <v>7.0</v>
      </c>
      <c r="V40" s="22">
        <v>0.0</v>
      </c>
      <c r="W40" s="22">
        <v>0.0</v>
      </c>
      <c r="X40" s="22">
        <v>0.0</v>
      </c>
      <c r="Y40" s="34">
        <v>0.0</v>
      </c>
      <c r="Z40" s="20">
        <v>2.0</v>
      </c>
      <c r="AA40" s="21">
        <f>IFERROR(Z40/U40,"")</f>
        <v>0.2857142857142857</v>
      </c>
      <c r="AB40" s="24">
        <v>1.0</v>
      </c>
      <c r="AC40" s="21">
        <v>0.5</v>
      </c>
      <c r="AD40" s="24">
        <v>1.0333333333333334</v>
      </c>
      <c r="AE40" s="21">
        <v>0.0</v>
      </c>
      <c r="AF40" s="21">
        <v>0.0</v>
      </c>
      <c r="AG40" s="21">
        <v>0.8571428571428571</v>
      </c>
      <c r="AH40" s="24"/>
      <c r="AI40" s="21"/>
      <c r="AJ40" s="20">
        <v>5.0</v>
      </c>
      <c r="AK40" s="21">
        <f>IFERROR(AJ40/U40,"")</f>
        <v>0.7142857142857143</v>
      </c>
      <c r="AL40" s="20">
        <v>0.0</v>
      </c>
      <c r="AM40" s="21">
        <v>0.0</v>
      </c>
      <c r="AN40" s="20">
        <v>2.0</v>
      </c>
      <c r="AO40" s="21">
        <f>IFERROR(AN40/AJ40,"")</f>
        <v>0.4</v>
      </c>
      <c r="AP40" s="24">
        <v>1.0</v>
      </c>
      <c r="AQ40" s="21">
        <v>0.5</v>
      </c>
      <c r="AR40" s="24">
        <v>1.0333333333333334</v>
      </c>
      <c r="AS40" s="21">
        <v>0.0</v>
      </c>
      <c r="AT40" s="21">
        <v>0.0</v>
      </c>
      <c r="AU40" s="21">
        <v>0.8</v>
      </c>
      <c r="AV40" s="24"/>
      <c r="AW40" s="21"/>
      <c r="AX40" s="20">
        <v>2.0</v>
      </c>
      <c r="AY40" s="21">
        <f>IFERROR(AX40/U40,"")</f>
        <v>0.2857142857142857</v>
      </c>
      <c r="AZ40" s="20">
        <v>0.0</v>
      </c>
      <c r="BA40" s="21">
        <v>0.0</v>
      </c>
      <c r="BB40" s="20">
        <v>0.0</v>
      </c>
      <c r="BC40" s="21">
        <f>IFERROR(BB40/AX40,"")</f>
        <v>0.0</v>
      </c>
      <c r="BD40" s="24"/>
      <c r="BE40" s="21"/>
      <c r="BF40" s="24"/>
      <c r="BG40" s="21">
        <v>0.0</v>
      </c>
      <c r="BH40" s="21">
        <v>0.0</v>
      </c>
      <c r="BI40" s="21">
        <v>1.0</v>
      </c>
      <c r="BJ40" s="24"/>
      <c r="BK40" s="21"/>
      <c r="BL40" s="22">
        <v>1.0</v>
      </c>
      <c r="BM40" s="20">
        <v>0.0</v>
      </c>
      <c r="BN40" s="21">
        <f>IFERROR(BM40/BL40,"")</f>
        <v>0.0</v>
      </c>
      <c r="BO40" s="24"/>
      <c r="BP40" s="21"/>
      <c r="BQ40" s="24"/>
      <c r="BR40" s="21">
        <v>0.0</v>
      </c>
      <c r="BS40" s="21">
        <v>0.0</v>
      </c>
      <c r="BT40" s="21">
        <v>1.0</v>
      </c>
      <c r="BU40" s="24"/>
      <c r="BV40" s="21"/>
      <c r="BW40" s="22">
        <v>10.0</v>
      </c>
      <c r="BX40" s="20">
        <v>7.0</v>
      </c>
      <c r="BY40" s="21">
        <f>IFERROR(BX40/BW40,"")</f>
        <v>0.7</v>
      </c>
      <c r="BZ40" s="24">
        <v>1.2857142857142858</v>
      </c>
      <c r="CA40" s="21">
        <v>0.0</v>
      </c>
      <c r="CB40" s="24"/>
      <c r="CC40" s="21">
        <v>0.1</v>
      </c>
      <c r="CD40" s="21">
        <v>0.1</v>
      </c>
      <c r="CE40" s="21">
        <v>0.9</v>
      </c>
      <c r="CF40" s="24">
        <v>1.0</v>
      </c>
      <c r="CG40" s="21">
        <v>0.0</v>
      </c>
    </row>
    <row r="41" spans="1:85" s="14" customFormat="1" ht="18.6" customHeight="1">
      <c r="A41" s="14"/>
      <c r="B41" s="20"/>
      <c r="C41" s="20" t="s">
        <v>109</v>
      </c>
      <c r="D41" s="21"/>
      <c r="E41" s="21">
        <f>IFERROR(H41/G41,"")</f>
        <v>0.053475935828877004</v>
      </c>
      <c r="F41" s="21">
        <f>IFERROR(I41/G41,"")</f>
        <v>0.0</v>
      </c>
      <c r="G41" s="20">
        <v>187.0</v>
      </c>
      <c r="H41" s="22">
        <v>10.0</v>
      </c>
      <c r="I41" s="22">
        <v>0.0</v>
      </c>
      <c r="J41" s="22">
        <v>2.0</v>
      </c>
      <c r="K41" s="34">
        <f>J41/H41</f>
        <v>0.2</v>
      </c>
      <c r="L41" s="30">
        <f>IF(E41-D41&lt;0,0,CEILING((E41-D41)*G41,1))</f>
        <v>10.0</v>
      </c>
      <c r="M41" s="23">
        <v>1.0</v>
      </c>
      <c r="N41" s="23">
        <v>0.0</v>
      </c>
      <c r="O41" s="22"/>
      <c r="P41" s="22"/>
      <c r="Q41" s="22"/>
      <c r="R41" s="21"/>
      <c r="S41" s="23"/>
      <c r="T41" s="31"/>
      <c r="U41" s="22">
        <v>5.0</v>
      </c>
      <c r="V41" s="22">
        <v>0.0</v>
      </c>
      <c r="W41" s="22">
        <v>0.0</v>
      </c>
      <c r="X41" s="22">
        <v>0.0</v>
      </c>
      <c r="Y41" s="34">
        <v>0.0</v>
      </c>
      <c r="Z41" s="20">
        <v>1.0</v>
      </c>
      <c r="AA41" s="21">
        <f>IFERROR(Z41/U41,"")</f>
        <v>0.2</v>
      </c>
      <c r="AB41" s="24">
        <v>1.0</v>
      </c>
      <c r="AC41" s="21">
        <v>0.0</v>
      </c>
      <c r="AD41" s="24"/>
      <c r="AE41" s="21">
        <v>0.0</v>
      </c>
      <c r="AF41" s="21">
        <v>0.0</v>
      </c>
      <c r="AG41" s="21">
        <v>0.6</v>
      </c>
      <c r="AH41" s="24"/>
      <c r="AI41" s="21"/>
      <c r="AJ41" s="20">
        <v>5.0</v>
      </c>
      <c r="AK41" s="21">
        <f>IFERROR(AJ41/U41,"")</f>
        <v>1.0</v>
      </c>
      <c r="AL41" s="20">
        <v>0.0</v>
      </c>
      <c r="AM41" s="21">
        <v>0.0</v>
      </c>
      <c r="AN41" s="20">
        <v>1.0</v>
      </c>
      <c r="AO41" s="21">
        <f>IFERROR(AN41/AJ41,"")</f>
        <v>0.2</v>
      </c>
      <c r="AP41" s="24">
        <v>1.0</v>
      </c>
      <c r="AQ41" s="21">
        <v>0.0</v>
      </c>
      <c r="AR41" s="24"/>
      <c r="AS41" s="21">
        <v>0.0</v>
      </c>
      <c r="AT41" s="21">
        <v>0.0</v>
      </c>
      <c r="AU41" s="21">
        <v>0.6</v>
      </c>
      <c r="AV41" s="24"/>
      <c r="AW41" s="21"/>
      <c r="AX41" s="20">
        <v>0.0</v>
      </c>
      <c r="AY41" s="21">
        <f>IFERROR(AX41/U41,"")</f>
        <v>0.0</v>
      </c>
      <c r="AZ41" s="20"/>
      <c r="BA41" s="21"/>
      <c r="BB41" s="20">
        <v>0.0</v>
      </c>
      <c r="BC41" s="21" t="str">
        <f>IFERROR(BB41/AX41,"")</f>
        <v/>
      </c>
      <c r="BD41" s="24"/>
      <c r="BE41" s="21"/>
      <c r="BF41" s="24"/>
      <c r="BG41" s="21"/>
      <c r="BH41" s="21"/>
      <c r="BI41" s="21"/>
      <c r="BJ41" s="24"/>
      <c r="BK41" s="21"/>
      <c r="BL41" s="22">
        <v>1.0</v>
      </c>
      <c r="BM41" s="20">
        <v>0.0</v>
      </c>
      <c r="BN41" s="21">
        <f>IFERROR(BM41/BL41,"")</f>
        <v>0.0</v>
      </c>
      <c r="BO41" s="24"/>
      <c r="BP41" s="21"/>
      <c r="BQ41" s="24"/>
      <c r="BR41" s="21">
        <v>0.0</v>
      </c>
      <c r="BS41" s="21">
        <v>0.0</v>
      </c>
      <c r="BT41" s="21">
        <v>1.0</v>
      </c>
      <c r="BU41" s="24"/>
      <c r="BV41" s="21"/>
      <c r="BW41" s="22">
        <v>5.0</v>
      </c>
      <c r="BX41" s="20">
        <v>3.0</v>
      </c>
      <c r="BY41" s="21">
        <f>IFERROR(BX41/BW41,"")</f>
        <v>0.6</v>
      </c>
      <c r="BZ41" s="24">
        <v>1.0</v>
      </c>
      <c r="CA41" s="21">
        <v>0.0</v>
      </c>
      <c r="CB41" s="24"/>
      <c r="CC41" s="21">
        <v>0.0</v>
      </c>
      <c r="CD41" s="21">
        <v>0.0</v>
      </c>
      <c r="CE41" s="21">
        <v>0.8</v>
      </c>
      <c r="CF41" s="24"/>
      <c r="CG41" s="21"/>
    </row>
    <row r="42" spans="1:85" s="14" customFormat="1" ht="18.6" customHeight="1">
      <c r="A42" s="14"/>
      <c r="B42" s="20"/>
      <c r="C42" s="20" t="s">
        <v>110</v>
      </c>
      <c r="D42" s="21"/>
      <c r="E42" s="21">
        <f>IFERROR(H42/G42,"")</f>
        <v>0.05</v>
      </c>
      <c r="F42" s="21">
        <f>IFERROR(I42/G42,"")</f>
        <v>0.0</v>
      </c>
      <c r="G42" s="20">
        <v>100.0</v>
      </c>
      <c r="H42" s="22">
        <v>5.0</v>
      </c>
      <c r="I42" s="22">
        <v>0.0</v>
      </c>
      <c r="J42" s="22">
        <v>0.0</v>
      </c>
      <c r="K42" s="34">
        <f>J42/H42</f>
        <v>0.0</v>
      </c>
      <c r="L42" s="30">
        <f>IF(E42-D42&lt;0,0,CEILING((E42-D42)*G42,1))</f>
        <v>5.0</v>
      </c>
      <c r="M42" s="23">
        <v>0.0</v>
      </c>
      <c r="N42" s="23">
        <v>0.0</v>
      </c>
      <c r="O42" s="22"/>
      <c r="P42" s="22"/>
      <c r="Q42" s="22"/>
      <c r="R42" s="21"/>
      <c r="S42" s="23"/>
      <c r="T42" s="31"/>
      <c r="U42" s="22">
        <v>3.0</v>
      </c>
      <c r="V42" s="22">
        <v>0.0</v>
      </c>
      <c r="W42" s="22">
        <v>0.0</v>
      </c>
      <c r="X42" s="22">
        <v>0.0</v>
      </c>
      <c r="Y42" s="34">
        <v>0.0</v>
      </c>
      <c r="Z42" s="20">
        <v>2.0</v>
      </c>
      <c r="AA42" s="21">
        <f>IFERROR(Z42/U42,"")</f>
        <v>0.6666666666666666</v>
      </c>
      <c r="AB42" s="24">
        <v>1.5</v>
      </c>
      <c r="AC42" s="21">
        <v>0.3333333333333333</v>
      </c>
      <c r="AD42" s="24">
        <v>0.6666666666666666</v>
      </c>
      <c r="AE42" s="21">
        <v>0.0</v>
      </c>
      <c r="AF42" s="21">
        <v>0.0</v>
      </c>
      <c r="AG42" s="21">
        <v>1.0</v>
      </c>
      <c r="AH42" s="24"/>
      <c r="AI42" s="21"/>
      <c r="AJ42" s="20">
        <v>3.0</v>
      </c>
      <c r="AK42" s="21">
        <f>IFERROR(AJ42/U42,"")</f>
        <v>1.0</v>
      </c>
      <c r="AL42" s="20">
        <v>0.0</v>
      </c>
      <c r="AM42" s="21">
        <v>0.0</v>
      </c>
      <c r="AN42" s="20">
        <v>2.0</v>
      </c>
      <c r="AO42" s="21">
        <f>IFERROR(AN42/AJ42,"")</f>
        <v>0.6666666666666666</v>
      </c>
      <c r="AP42" s="24">
        <v>1.5</v>
      </c>
      <c r="AQ42" s="21">
        <v>0.3333333333333333</v>
      </c>
      <c r="AR42" s="24">
        <v>0.6666666666666666</v>
      </c>
      <c r="AS42" s="21">
        <v>0.0</v>
      </c>
      <c r="AT42" s="21">
        <v>0.0</v>
      </c>
      <c r="AU42" s="21">
        <v>1.0</v>
      </c>
      <c r="AV42" s="24"/>
      <c r="AW42" s="21"/>
      <c r="AX42" s="20">
        <v>0.0</v>
      </c>
      <c r="AY42" s="21">
        <f>IFERROR(AX42/U42,"")</f>
        <v>0.0</v>
      </c>
      <c r="AZ42" s="20"/>
      <c r="BA42" s="21"/>
      <c r="BB42" s="20">
        <v>0.0</v>
      </c>
      <c r="BC42" s="21" t="str">
        <f>IFERROR(BB42/AX42,"")</f>
        <v/>
      </c>
      <c r="BD42" s="24"/>
      <c r="BE42" s="21"/>
      <c r="BF42" s="24"/>
      <c r="BG42" s="21"/>
      <c r="BH42" s="21"/>
      <c r="BI42" s="21"/>
      <c r="BJ42" s="24"/>
      <c r="BK42" s="21"/>
      <c r="BL42" s="22">
        <v>0.0</v>
      </c>
      <c r="BM42" s="20">
        <v>0.0</v>
      </c>
      <c r="BN42" s="21" t="str">
        <f>IFERROR(BM42/BL42,"")</f>
        <v/>
      </c>
      <c r="BO42" s="24"/>
      <c r="BP42" s="21"/>
      <c r="BQ42" s="24"/>
      <c r="BR42" s="21"/>
      <c r="BS42" s="21"/>
      <c r="BT42" s="21"/>
      <c r="BU42" s="24"/>
      <c r="BV42" s="21"/>
      <c r="BW42" s="22">
        <v>7.0</v>
      </c>
      <c r="BX42" s="20">
        <v>4.0</v>
      </c>
      <c r="BY42" s="21">
        <f>IFERROR(BX42/BW42,"")</f>
        <v>0.5714285714285714</v>
      </c>
      <c r="BZ42" s="24">
        <v>2.75</v>
      </c>
      <c r="CA42" s="21">
        <v>0.18181818181818182</v>
      </c>
      <c r="CB42" s="24">
        <v>2.2</v>
      </c>
      <c r="CC42" s="21">
        <v>0.0</v>
      </c>
      <c r="CD42" s="21">
        <v>0.0</v>
      </c>
      <c r="CE42" s="21">
        <v>0.8571428571428571</v>
      </c>
      <c r="CF42" s="24"/>
      <c r="CG42" s="21"/>
    </row>
    <row r="43" spans="1:85" s="14" customFormat="1" ht="18.6" customHeight="1">
      <c r="A43" s="14"/>
      <c r="B43" s="20"/>
      <c r="C43" s="20" t="s">
        <v>111</v>
      </c>
      <c r="D43" s="21"/>
      <c r="E43" s="21">
        <f>IFERROR(H43/G43,"")</f>
        <v>0.07272727272727272</v>
      </c>
      <c r="F43" s="21">
        <f>IFERROR(I43/G43,"")</f>
        <v>0.0</v>
      </c>
      <c r="G43" s="20">
        <v>330.0</v>
      </c>
      <c r="H43" s="22">
        <v>24.0</v>
      </c>
      <c r="I43" s="22">
        <v>0.0</v>
      </c>
      <c r="J43" s="22">
        <v>6.0</v>
      </c>
      <c r="K43" s="34">
        <f>J43/H43</f>
        <v>0.25</v>
      </c>
      <c r="L43" s="30">
        <f>IF(E43-D43&lt;0,0,CEILING((E43-D43)*G43,1))</f>
        <v>24.0</v>
      </c>
      <c r="M43" s="23">
        <v>0.0</v>
      </c>
      <c r="N43" s="23">
        <v>0.0</v>
      </c>
      <c r="O43" s="22"/>
      <c r="P43" s="22"/>
      <c r="Q43" s="22"/>
      <c r="R43" s="21"/>
      <c r="S43" s="23"/>
      <c r="T43" s="31"/>
      <c r="U43" s="22">
        <v>5.0</v>
      </c>
      <c r="V43" s="22">
        <v>0.0</v>
      </c>
      <c r="W43" s="22">
        <v>0.0</v>
      </c>
      <c r="X43" s="22">
        <v>1.0</v>
      </c>
      <c r="Y43" s="34">
        <v>0.2</v>
      </c>
      <c r="Z43" s="20">
        <v>0.0</v>
      </c>
      <c r="AA43" s="21">
        <f>IFERROR(Z43/U43,"")</f>
        <v>0.0</v>
      </c>
      <c r="AB43" s="24"/>
      <c r="AC43" s="21"/>
      <c r="AD43" s="24"/>
      <c r="AE43" s="21">
        <v>0.0</v>
      </c>
      <c r="AF43" s="21">
        <v>0.0</v>
      </c>
      <c r="AG43" s="21">
        <v>1.0</v>
      </c>
      <c r="AH43" s="24"/>
      <c r="AI43" s="21"/>
      <c r="AJ43" s="20">
        <v>5.0</v>
      </c>
      <c r="AK43" s="21">
        <f>IFERROR(AJ43/U43,"")</f>
        <v>1.0</v>
      </c>
      <c r="AL43" s="20">
        <v>1.0</v>
      </c>
      <c r="AM43" s="21">
        <v>0.2</v>
      </c>
      <c r="AN43" s="20">
        <v>0.0</v>
      </c>
      <c r="AO43" s="21">
        <f>IFERROR(AN43/AJ43,"")</f>
        <v>0.0</v>
      </c>
      <c r="AP43" s="24"/>
      <c r="AQ43" s="21"/>
      <c r="AR43" s="24"/>
      <c r="AS43" s="21">
        <v>0.0</v>
      </c>
      <c r="AT43" s="21">
        <v>0.0</v>
      </c>
      <c r="AU43" s="21">
        <v>1.0</v>
      </c>
      <c r="AV43" s="24"/>
      <c r="AW43" s="21"/>
      <c r="AX43" s="20">
        <v>0.0</v>
      </c>
      <c r="AY43" s="21">
        <f>IFERROR(AX43/U43,"")</f>
        <v>0.0</v>
      </c>
      <c r="AZ43" s="20"/>
      <c r="BA43" s="21"/>
      <c r="BB43" s="20">
        <v>0.0</v>
      </c>
      <c r="BC43" s="21" t="str">
        <f>IFERROR(BB43/AX43,"")</f>
        <v/>
      </c>
      <c r="BD43" s="24"/>
      <c r="BE43" s="21"/>
      <c r="BF43" s="24"/>
      <c r="BG43" s="21"/>
      <c r="BH43" s="21"/>
      <c r="BI43" s="21"/>
      <c r="BJ43" s="24"/>
      <c r="BK43" s="21"/>
      <c r="BL43" s="22">
        <v>1.0</v>
      </c>
      <c r="BM43" s="20">
        <v>0.0</v>
      </c>
      <c r="BN43" s="21">
        <f>IFERROR(BM43/BL43,"")</f>
        <v>0.0</v>
      </c>
      <c r="BO43" s="24"/>
      <c r="BP43" s="21"/>
      <c r="BQ43" s="24"/>
      <c r="BR43" s="21">
        <v>0.0</v>
      </c>
      <c r="BS43" s="21">
        <v>0.0</v>
      </c>
      <c r="BT43" s="21">
        <v>0.0</v>
      </c>
      <c r="BU43" s="24"/>
      <c r="BV43" s="21"/>
      <c r="BW43" s="22">
        <v>16.0</v>
      </c>
      <c r="BX43" s="20">
        <v>7.0</v>
      </c>
      <c r="BY43" s="21">
        <f>IFERROR(BX43/BW43,"")</f>
        <v>0.4375</v>
      </c>
      <c r="BZ43" s="24">
        <v>1.1428571428571428</v>
      </c>
      <c r="CA43" s="21">
        <v>0.0</v>
      </c>
      <c r="CB43" s="24"/>
      <c r="CC43" s="21">
        <v>0.0</v>
      </c>
      <c r="CD43" s="21">
        <v>0.0</v>
      </c>
      <c r="CE43" s="21">
        <v>0.625</v>
      </c>
      <c r="CF43" s="24"/>
      <c r="CG43" s="21"/>
    </row>
    <row r="44" spans="1:85" s="14" customFormat="1" ht="18.6" customHeight="1">
      <c r="A44" s="14"/>
      <c r="B44" s="20"/>
      <c r="C44" s="20" t="s">
        <v>112</v>
      </c>
      <c r="D44" s="21"/>
      <c r="E44" s="21">
        <f>IFERROR(H44/G44,"")</f>
        <v>0.03488372093023256</v>
      </c>
      <c r="F44" s="21">
        <f>IFERROR(I44/G44,"")</f>
        <v>0.0</v>
      </c>
      <c r="G44" s="20">
        <v>86.0</v>
      </c>
      <c r="H44" s="22">
        <v>3.0</v>
      </c>
      <c r="I44" s="22">
        <v>0.0</v>
      </c>
      <c r="J44" s="22">
        <v>1.0</v>
      </c>
      <c r="K44" s="34">
        <f>J44/H44</f>
        <v>0.3333333333333333</v>
      </c>
      <c r="L44" s="30">
        <f>IF(E44-D44&lt;0,0,CEILING((E44-D44)*G44,1))</f>
        <v>3.0</v>
      </c>
      <c r="M44" s="23">
        <v>0.0</v>
      </c>
      <c r="N44" s="23">
        <v>0.0</v>
      </c>
      <c r="O44" s="22"/>
      <c r="P44" s="22"/>
      <c r="Q44" s="22"/>
      <c r="R44" s="21"/>
      <c r="S44" s="23"/>
      <c r="T44" s="31"/>
      <c r="U44" s="22">
        <v>1.0</v>
      </c>
      <c r="V44" s="22">
        <v>0.0</v>
      </c>
      <c r="W44" s="22">
        <v>0.0</v>
      </c>
      <c r="X44" s="22">
        <v>0.0</v>
      </c>
      <c r="Y44" s="34">
        <v>0.0</v>
      </c>
      <c r="Z44" s="20">
        <v>0.0</v>
      </c>
      <c r="AA44" s="21">
        <f>IFERROR(Z44/U44,"")</f>
        <v>0.0</v>
      </c>
      <c r="AB44" s="24"/>
      <c r="AC44" s="21"/>
      <c r="AD44" s="24"/>
      <c r="AE44" s="21">
        <v>0.0</v>
      </c>
      <c r="AF44" s="21">
        <v>0.0</v>
      </c>
      <c r="AG44" s="21">
        <v>1.0</v>
      </c>
      <c r="AH44" s="24"/>
      <c r="AI44" s="21"/>
      <c r="AJ44" s="20">
        <v>1.0</v>
      </c>
      <c r="AK44" s="21">
        <f>IFERROR(AJ44/U44,"")</f>
        <v>1.0</v>
      </c>
      <c r="AL44" s="20">
        <v>0.0</v>
      </c>
      <c r="AM44" s="21">
        <v>0.0</v>
      </c>
      <c r="AN44" s="20">
        <v>0.0</v>
      </c>
      <c r="AO44" s="21">
        <f>IFERROR(AN44/AJ44,"")</f>
        <v>0.0</v>
      </c>
      <c r="AP44" s="24"/>
      <c r="AQ44" s="21"/>
      <c r="AR44" s="24"/>
      <c r="AS44" s="21">
        <v>0.0</v>
      </c>
      <c r="AT44" s="21">
        <v>0.0</v>
      </c>
      <c r="AU44" s="21">
        <v>1.0</v>
      </c>
      <c r="AV44" s="24"/>
      <c r="AW44" s="21"/>
      <c r="AX44" s="20">
        <v>0.0</v>
      </c>
      <c r="AY44" s="21">
        <f>IFERROR(AX44/U44,"")</f>
        <v>0.0</v>
      </c>
      <c r="AZ44" s="20"/>
      <c r="BA44" s="21"/>
      <c r="BB44" s="20">
        <v>0.0</v>
      </c>
      <c r="BC44" s="21" t="str">
        <f>IFERROR(BB44/AX44,"")</f>
        <v/>
      </c>
      <c r="BD44" s="24"/>
      <c r="BE44" s="21"/>
      <c r="BF44" s="24"/>
      <c r="BG44" s="21"/>
      <c r="BH44" s="21"/>
      <c r="BI44" s="21"/>
      <c r="BJ44" s="24"/>
      <c r="BK44" s="21"/>
      <c r="BL44" s="22">
        <v>0.0</v>
      </c>
      <c r="BM44" s="20">
        <v>0.0</v>
      </c>
      <c r="BN44" s="21" t="str">
        <f>IFERROR(BM44/BL44,"")</f>
        <v/>
      </c>
      <c r="BO44" s="24"/>
      <c r="BP44" s="21"/>
      <c r="BQ44" s="24"/>
      <c r="BR44" s="21"/>
      <c r="BS44" s="21"/>
      <c r="BT44" s="21"/>
      <c r="BU44" s="24"/>
      <c r="BV44" s="21"/>
      <c r="BW44" s="22">
        <v>2.0</v>
      </c>
      <c r="BX44" s="20">
        <v>1.0</v>
      </c>
      <c r="BY44" s="21">
        <f>IFERROR(BX44/BW44,"")</f>
        <v>0.5</v>
      </c>
      <c r="BZ44" s="24">
        <v>2.0</v>
      </c>
      <c r="CA44" s="21">
        <v>0.0</v>
      </c>
      <c r="CB44" s="24"/>
      <c r="CC44" s="21">
        <v>0.0</v>
      </c>
      <c r="CD44" s="21">
        <v>0.0</v>
      </c>
      <c r="CE44" s="21">
        <v>1.0</v>
      </c>
      <c r="CF44" s="24"/>
      <c r="CG44" s="21"/>
    </row>
    <row r="45" spans="1:85" s="14" customFormat="1" ht="18.6" customHeight="1">
      <c r="A45" s="14"/>
      <c r="B45" s="20"/>
      <c r="C45" s="20" t="s">
        <v>113</v>
      </c>
      <c r="D45" s="21"/>
      <c r="E45" s="21">
        <f>IFERROR(H45/G45,"")</f>
        <v>0.02127659574468085</v>
      </c>
      <c r="F45" s="21">
        <f>IFERROR(I45/G45,"")</f>
        <v>0.0</v>
      </c>
      <c r="G45" s="20">
        <v>47.0</v>
      </c>
      <c r="H45" s="22">
        <v>1.0</v>
      </c>
      <c r="I45" s="22">
        <v>0.0</v>
      </c>
      <c r="J45" s="22">
        <v>0.0</v>
      </c>
      <c r="K45" s="34">
        <f>J45/H45</f>
        <v>0.0</v>
      </c>
      <c r="L45" s="30">
        <f>IF(E45-D45&lt;0,0,CEILING((E45-D45)*G45,1))</f>
        <v>1.0</v>
      </c>
      <c r="M45" s="23">
        <v>0.0</v>
      </c>
      <c r="N45" s="23">
        <v>0.0</v>
      </c>
      <c r="O45" s="22"/>
      <c r="P45" s="22"/>
      <c r="Q45" s="22"/>
      <c r="R45" s="21"/>
      <c r="S45" s="23"/>
      <c r="T45" s="31"/>
      <c r="U45" s="22">
        <v>1.0</v>
      </c>
      <c r="V45" s="22">
        <v>0.0</v>
      </c>
      <c r="W45" s="22">
        <v>0.0</v>
      </c>
      <c r="X45" s="22">
        <v>0.0</v>
      </c>
      <c r="Y45" s="34">
        <v>0.0</v>
      </c>
      <c r="Z45" s="20">
        <v>1.0</v>
      </c>
      <c r="AA45" s="21">
        <f>IFERROR(Z45/U45,"")</f>
        <v>1.0</v>
      </c>
      <c r="AB45" s="24">
        <v>2.0</v>
      </c>
      <c r="AC45" s="21">
        <v>0.5</v>
      </c>
      <c r="AD45" s="24">
        <v>4.216666666666667</v>
      </c>
      <c r="AE45" s="21">
        <v>0.0</v>
      </c>
      <c r="AF45" s="21">
        <v>0.0</v>
      </c>
      <c r="AG45" s="21">
        <v>1.0</v>
      </c>
      <c r="AH45" s="24"/>
      <c r="AI45" s="21"/>
      <c r="AJ45" s="20">
        <v>1.0</v>
      </c>
      <c r="AK45" s="21">
        <f>IFERROR(AJ45/U45,"")</f>
        <v>1.0</v>
      </c>
      <c r="AL45" s="20">
        <v>0.0</v>
      </c>
      <c r="AM45" s="21">
        <v>0.0</v>
      </c>
      <c r="AN45" s="20">
        <v>1.0</v>
      </c>
      <c r="AO45" s="21">
        <f>IFERROR(AN45/AJ45,"")</f>
        <v>1.0</v>
      </c>
      <c r="AP45" s="24">
        <v>2.0</v>
      </c>
      <c r="AQ45" s="21">
        <v>0.5</v>
      </c>
      <c r="AR45" s="24">
        <v>4.216666666666667</v>
      </c>
      <c r="AS45" s="21">
        <v>0.0</v>
      </c>
      <c r="AT45" s="21">
        <v>0.0</v>
      </c>
      <c r="AU45" s="21">
        <v>1.0</v>
      </c>
      <c r="AV45" s="24"/>
      <c r="AW45" s="21"/>
      <c r="AX45" s="20">
        <v>0.0</v>
      </c>
      <c r="AY45" s="21">
        <f>IFERROR(AX45/U45,"")</f>
        <v>0.0</v>
      </c>
      <c r="AZ45" s="20"/>
      <c r="BA45" s="21"/>
      <c r="BB45" s="20">
        <v>0.0</v>
      </c>
      <c r="BC45" s="21" t="str">
        <f>IFERROR(BB45/AX45,"")</f>
        <v/>
      </c>
      <c r="BD45" s="24"/>
      <c r="BE45" s="21"/>
      <c r="BF45" s="24"/>
      <c r="BG45" s="21"/>
      <c r="BH45" s="21"/>
      <c r="BI45" s="21"/>
      <c r="BJ45" s="24"/>
      <c r="BK45" s="21"/>
      <c r="BL45" s="22">
        <v>0.0</v>
      </c>
      <c r="BM45" s="20">
        <v>0.0</v>
      </c>
      <c r="BN45" s="21" t="str">
        <f>IFERROR(BM45/BL45,"")</f>
        <v/>
      </c>
      <c r="BO45" s="24"/>
      <c r="BP45" s="21"/>
      <c r="BQ45" s="24"/>
      <c r="BR45" s="21"/>
      <c r="BS45" s="21"/>
      <c r="BT45" s="21"/>
      <c r="BU45" s="24"/>
      <c r="BV45" s="21"/>
      <c r="BW45" s="22">
        <v>2.0</v>
      </c>
      <c r="BX45" s="20">
        <v>2.0</v>
      </c>
      <c r="BY45" s="21">
        <f>IFERROR(BX45/BW45,"")</f>
        <v>1.0</v>
      </c>
      <c r="BZ45" s="24">
        <v>2.5</v>
      </c>
      <c r="CA45" s="21">
        <v>0.0</v>
      </c>
      <c r="CB45" s="24"/>
      <c r="CC45" s="21">
        <v>0.0</v>
      </c>
      <c r="CD45" s="21">
        <v>0.0</v>
      </c>
      <c r="CE45" s="21">
        <v>1.0</v>
      </c>
      <c r="CF45" s="24"/>
      <c r="CG45" s="21"/>
    </row>
    <row r="46" spans="1:85" s="14" customFormat="1" ht="18.6" customHeight="1">
      <c r="A46" s="14"/>
      <c r="B46" s="20"/>
      <c r="C46" s="20" t="s">
        <v>114</v>
      </c>
      <c r="D46" s="21"/>
      <c r="E46" s="21">
        <f>IFERROR(H46/G46,"")</f>
        <v>0.04186046511627907</v>
      </c>
      <c r="F46" s="21">
        <f>IFERROR(I46/G46,"")</f>
        <v>0.0</v>
      </c>
      <c r="G46" s="20">
        <v>215.0</v>
      </c>
      <c r="H46" s="22">
        <v>9.0</v>
      </c>
      <c r="I46" s="22">
        <v>0.0</v>
      </c>
      <c r="J46" s="22">
        <v>0.0</v>
      </c>
      <c r="K46" s="34">
        <f>J46/H46</f>
        <v>0.0</v>
      </c>
      <c r="L46" s="30">
        <f>IF(E46-D46&lt;0,0,CEILING((E46-D46)*G46,1))</f>
        <v>9.0</v>
      </c>
      <c r="M46" s="23">
        <v>0.0</v>
      </c>
      <c r="N46" s="23">
        <v>0.0</v>
      </c>
      <c r="O46" s="22"/>
      <c r="P46" s="22"/>
      <c r="Q46" s="22"/>
      <c r="R46" s="21"/>
      <c r="S46" s="23"/>
      <c r="T46" s="31"/>
      <c r="U46" s="22">
        <v>4.0</v>
      </c>
      <c r="V46" s="22">
        <v>0.0</v>
      </c>
      <c r="W46" s="22">
        <v>0.0</v>
      </c>
      <c r="X46" s="22">
        <v>0.0</v>
      </c>
      <c r="Y46" s="34">
        <v>0.0</v>
      </c>
      <c r="Z46" s="20">
        <v>2.0</v>
      </c>
      <c r="AA46" s="21">
        <f>IFERROR(Z46/U46,"")</f>
        <v>0.5</v>
      </c>
      <c r="AB46" s="24">
        <v>1.0</v>
      </c>
      <c r="AC46" s="21">
        <v>0.0</v>
      </c>
      <c r="AD46" s="24"/>
      <c r="AE46" s="21">
        <v>0.0</v>
      </c>
      <c r="AF46" s="21">
        <v>0.0</v>
      </c>
      <c r="AG46" s="21">
        <v>1.0</v>
      </c>
      <c r="AH46" s="24"/>
      <c r="AI46" s="21"/>
      <c r="AJ46" s="20">
        <v>3.0</v>
      </c>
      <c r="AK46" s="21">
        <f>IFERROR(AJ46/U46,"")</f>
        <v>0.75</v>
      </c>
      <c r="AL46" s="20">
        <v>0.0</v>
      </c>
      <c r="AM46" s="21">
        <v>0.0</v>
      </c>
      <c r="AN46" s="20">
        <v>2.0</v>
      </c>
      <c r="AO46" s="21">
        <f>IFERROR(AN46/AJ46,"")</f>
        <v>0.6666666666666666</v>
      </c>
      <c r="AP46" s="24">
        <v>1.0</v>
      </c>
      <c r="AQ46" s="21">
        <v>0.0</v>
      </c>
      <c r="AR46" s="24"/>
      <c r="AS46" s="21">
        <v>0.0</v>
      </c>
      <c r="AT46" s="21">
        <v>0.0</v>
      </c>
      <c r="AU46" s="21">
        <v>1.0</v>
      </c>
      <c r="AV46" s="24"/>
      <c r="AW46" s="21"/>
      <c r="AX46" s="20">
        <v>1.0</v>
      </c>
      <c r="AY46" s="21">
        <f>IFERROR(AX46/U46,"")</f>
        <v>0.25</v>
      </c>
      <c r="AZ46" s="20">
        <v>0.0</v>
      </c>
      <c r="BA46" s="21">
        <v>0.0</v>
      </c>
      <c r="BB46" s="20">
        <v>0.0</v>
      </c>
      <c r="BC46" s="21">
        <f>IFERROR(BB46/AX46,"")</f>
        <v>0.0</v>
      </c>
      <c r="BD46" s="24"/>
      <c r="BE46" s="21"/>
      <c r="BF46" s="24"/>
      <c r="BG46" s="21">
        <v>0.0</v>
      </c>
      <c r="BH46" s="21">
        <v>0.0</v>
      </c>
      <c r="BI46" s="21">
        <v>1.0</v>
      </c>
      <c r="BJ46" s="24"/>
      <c r="BK46" s="21"/>
      <c r="BL46" s="22">
        <v>0.0</v>
      </c>
      <c r="BM46" s="20">
        <v>0.0</v>
      </c>
      <c r="BN46" s="21" t="str">
        <f>IFERROR(BM46/BL46,"")</f>
        <v/>
      </c>
      <c r="BO46" s="24"/>
      <c r="BP46" s="21"/>
      <c r="BQ46" s="24"/>
      <c r="BR46" s="21"/>
      <c r="BS46" s="21"/>
      <c r="BT46" s="21"/>
      <c r="BU46" s="24"/>
      <c r="BV46" s="21"/>
      <c r="BW46" s="22">
        <v>6.0</v>
      </c>
      <c r="BX46" s="20">
        <v>1.0</v>
      </c>
      <c r="BY46" s="21">
        <f>IFERROR(BX46/BW46,"")</f>
        <v>0.16666666666666666</v>
      </c>
      <c r="BZ46" s="24">
        <v>1.0</v>
      </c>
      <c r="CA46" s="21">
        <v>0.0</v>
      </c>
      <c r="CB46" s="24"/>
      <c r="CC46" s="21">
        <v>0.0</v>
      </c>
      <c r="CD46" s="21">
        <v>0.0</v>
      </c>
      <c r="CE46" s="21">
        <v>0.8333333333333334</v>
      </c>
      <c r="CF46" s="24"/>
      <c r="CG46" s="21"/>
    </row>
    <row r="47" spans="1:85" s="14" customFormat="1" ht="18.6" customHeight="1">
      <c r="A47" s="14"/>
      <c r="B47" s="20"/>
      <c r="C47" s="20" t="s">
        <v>115</v>
      </c>
      <c r="D47" s="21"/>
      <c r="E47" s="21">
        <f>IFERROR(H47/G47,"")</f>
        <v>0.039473684210526314</v>
      </c>
      <c r="F47" s="21">
        <f>IFERROR(I47/G47,"")</f>
        <v>0.0</v>
      </c>
      <c r="G47" s="20">
        <v>228.0</v>
      </c>
      <c r="H47" s="22">
        <v>9.0</v>
      </c>
      <c r="I47" s="22">
        <v>0.0</v>
      </c>
      <c r="J47" s="22">
        <v>3.0</v>
      </c>
      <c r="K47" s="34">
        <f>J47/H47</f>
        <v>0.3333333333333333</v>
      </c>
      <c r="L47" s="30">
        <f>IF(E47-D47&lt;0,0,CEILING((E47-D47)*G47,1))</f>
        <v>9.0</v>
      </c>
      <c r="M47" s="23">
        <v>0.0</v>
      </c>
      <c r="N47" s="23">
        <v>0.0</v>
      </c>
      <c r="O47" s="22"/>
      <c r="P47" s="22"/>
      <c r="Q47" s="22"/>
      <c r="R47" s="21"/>
      <c r="S47" s="23"/>
      <c r="T47" s="31"/>
      <c r="U47" s="22">
        <v>3.0</v>
      </c>
      <c r="V47" s="22">
        <v>0.0</v>
      </c>
      <c r="W47" s="22">
        <v>0.0</v>
      </c>
      <c r="X47" s="22">
        <v>0.0</v>
      </c>
      <c r="Y47" s="34">
        <v>0.0</v>
      </c>
      <c r="Z47" s="20">
        <v>1.0</v>
      </c>
      <c r="AA47" s="21">
        <f>IFERROR(Z47/U47,"")</f>
        <v>0.3333333333333333</v>
      </c>
      <c r="AB47" s="24">
        <v>2.0</v>
      </c>
      <c r="AC47" s="21">
        <v>0.0</v>
      </c>
      <c r="AD47" s="24"/>
      <c r="AE47" s="21">
        <v>0.0</v>
      </c>
      <c r="AF47" s="21">
        <v>0.0</v>
      </c>
      <c r="AG47" s="21">
        <v>1.0</v>
      </c>
      <c r="AH47" s="24"/>
      <c r="AI47" s="21"/>
      <c r="AJ47" s="20">
        <v>3.0</v>
      </c>
      <c r="AK47" s="21">
        <f>IFERROR(AJ47/U47,"")</f>
        <v>1.0</v>
      </c>
      <c r="AL47" s="20">
        <v>0.0</v>
      </c>
      <c r="AM47" s="21">
        <v>0.0</v>
      </c>
      <c r="AN47" s="20">
        <v>1.0</v>
      </c>
      <c r="AO47" s="21">
        <f>IFERROR(AN47/AJ47,"")</f>
        <v>0.3333333333333333</v>
      </c>
      <c r="AP47" s="24">
        <v>2.0</v>
      </c>
      <c r="AQ47" s="21">
        <v>0.0</v>
      </c>
      <c r="AR47" s="24"/>
      <c r="AS47" s="21">
        <v>0.0</v>
      </c>
      <c r="AT47" s="21">
        <v>0.0</v>
      </c>
      <c r="AU47" s="21">
        <v>1.0</v>
      </c>
      <c r="AV47" s="24"/>
      <c r="AW47" s="21"/>
      <c r="AX47" s="20">
        <v>0.0</v>
      </c>
      <c r="AY47" s="21">
        <f>IFERROR(AX47/U47,"")</f>
        <v>0.0</v>
      </c>
      <c r="AZ47" s="20"/>
      <c r="BA47" s="21"/>
      <c r="BB47" s="20">
        <v>0.0</v>
      </c>
      <c r="BC47" s="21" t="str">
        <f>IFERROR(BB47/AX47,"")</f>
        <v/>
      </c>
      <c r="BD47" s="24"/>
      <c r="BE47" s="21"/>
      <c r="BF47" s="24"/>
      <c r="BG47" s="21"/>
      <c r="BH47" s="21"/>
      <c r="BI47" s="21"/>
      <c r="BJ47" s="24"/>
      <c r="BK47" s="21"/>
      <c r="BL47" s="22">
        <v>0.0</v>
      </c>
      <c r="BM47" s="20">
        <v>0.0</v>
      </c>
      <c r="BN47" s="21" t="str">
        <f>IFERROR(BM47/BL47,"")</f>
        <v/>
      </c>
      <c r="BO47" s="24"/>
      <c r="BP47" s="21"/>
      <c r="BQ47" s="24"/>
      <c r="BR47" s="21"/>
      <c r="BS47" s="21"/>
      <c r="BT47" s="21"/>
      <c r="BU47" s="24"/>
      <c r="BV47" s="21"/>
      <c r="BW47" s="22">
        <v>5.0</v>
      </c>
      <c r="BX47" s="20">
        <v>4.0</v>
      </c>
      <c r="BY47" s="21">
        <f>IFERROR(BX47/BW47,"")</f>
        <v>0.8</v>
      </c>
      <c r="BZ47" s="24">
        <v>1.25</v>
      </c>
      <c r="CA47" s="21">
        <v>0.0</v>
      </c>
      <c r="CB47" s="24"/>
      <c r="CC47" s="21">
        <v>0.0</v>
      </c>
      <c r="CD47" s="21">
        <v>0.0</v>
      </c>
      <c r="CE47" s="21">
        <v>0.4</v>
      </c>
      <c r="CF47" s="24"/>
      <c r="CG47" s="21"/>
    </row>
    <row r="48" spans="1:85" s="14" customFormat="1" ht="18.6" customHeight="1">
      <c r="A48" s="14"/>
      <c r="B48" s="20"/>
      <c r="C48" s="20" t="s">
        <v>116</v>
      </c>
      <c r="D48" s="21"/>
      <c r="E48" s="21">
        <f>IFERROR(H48/G48,"")</f>
        <v>0.06198347107438017</v>
      </c>
      <c r="F48" s="21">
        <f>IFERROR(I48/G48,"")</f>
        <v>0.004132231404958678</v>
      </c>
      <c r="G48" s="20">
        <v>242.0</v>
      </c>
      <c r="H48" s="22">
        <v>15.0</v>
      </c>
      <c r="I48" s="22">
        <v>1.0</v>
      </c>
      <c r="J48" s="22">
        <v>2.0</v>
      </c>
      <c r="K48" s="34">
        <f>J48/H48</f>
        <v>0.13333333333333333</v>
      </c>
      <c r="L48" s="30">
        <f>IF(E48-D48&lt;0,0,CEILING((E48-D48)*G48,1))</f>
        <v>15.0</v>
      </c>
      <c r="M48" s="23">
        <v>1.0</v>
      </c>
      <c r="N48" s="23">
        <v>0.0</v>
      </c>
      <c r="O48" s="22"/>
      <c r="P48" s="22"/>
      <c r="Q48" s="22"/>
      <c r="R48" s="21"/>
      <c r="S48" s="23"/>
      <c r="T48" s="31"/>
      <c r="U48" s="22">
        <v>2.0</v>
      </c>
      <c r="V48" s="22">
        <v>0.0</v>
      </c>
      <c r="W48" s="22">
        <v>0.0</v>
      </c>
      <c r="X48" s="22">
        <v>0.0</v>
      </c>
      <c r="Y48" s="34">
        <v>0.0</v>
      </c>
      <c r="Z48" s="20">
        <v>0.0</v>
      </c>
      <c r="AA48" s="21">
        <f>IFERROR(Z48/U48,"")</f>
        <v>0.0</v>
      </c>
      <c r="AB48" s="24"/>
      <c r="AC48" s="21"/>
      <c r="AD48" s="24"/>
      <c r="AE48" s="21">
        <v>0.0</v>
      </c>
      <c r="AF48" s="21">
        <v>0.0</v>
      </c>
      <c r="AG48" s="21">
        <v>1.0</v>
      </c>
      <c r="AH48" s="24"/>
      <c r="AI48" s="21"/>
      <c r="AJ48" s="20">
        <v>1.0</v>
      </c>
      <c r="AK48" s="21">
        <f>IFERROR(AJ48/U48,"")</f>
        <v>0.5</v>
      </c>
      <c r="AL48" s="20">
        <v>0.0</v>
      </c>
      <c r="AM48" s="21">
        <v>0.0</v>
      </c>
      <c r="AN48" s="20">
        <v>0.0</v>
      </c>
      <c r="AO48" s="21">
        <f>IFERROR(AN48/AJ48,"")</f>
        <v>0.0</v>
      </c>
      <c r="AP48" s="24"/>
      <c r="AQ48" s="21"/>
      <c r="AR48" s="24"/>
      <c r="AS48" s="21">
        <v>0.0</v>
      </c>
      <c r="AT48" s="21">
        <v>0.0</v>
      </c>
      <c r="AU48" s="21">
        <v>1.0</v>
      </c>
      <c r="AV48" s="24"/>
      <c r="AW48" s="21"/>
      <c r="AX48" s="20">
        <v>1.0</v>
      </c>
      <c r="AY48" s="21">
        <f>IFERROR(AX48/U48,"")</f>
        <v>0.5</v>
      </c>
      <c r="AZ48" s="20">
        <v>0.0</v>
      </c>
      <c r="BA48" s="21">
        <v>0.0</v>
      </c>
      <c r="BB48" s="20">
        <v>0.0</v>
      </c>
      <c r="BC48" s="21">
        <f>IFERROR(BB48/AX48,"")</f>
        <v>0.0</v>
      </c>
      <c r="BD48" s="24"/>
      <c r="BE48" s="21"/>
      <c r="BF48" s="24"/>
      <c r="BG48" s="21">
        <v>0.0</v>
      </c>
      <c r="BH48" s="21">
        <v>0.0</v>
      </c>
      <c r="BI48" s="21">
        <v>1.0</v>
      </c>
      <c r="BJ48" s="24"/>
      <c r="BK48" s="21"/>
      <c r="BL48" s="22">
        <v>0.0</v>
      </c>
      <c r="BM48" s="20">
        <v>0.0</v>
      </c>
      <c r="BN48" s="21" t="str">
        <f>IFERROR(BM48/BL48,"")</f>
        <v/>
      </c>
      <c r="BO48" s="24"/>
      <c r="BP48" s="21"/>
      <c r="BQ48" s="24"/>
      <c r="BR48" s="21"/>
      <c r="BS48" s="21"/>
      <c r="BT48" s="21"/>
      <c r="BU48" s="24"/>
      <c r="BV48" s="21"/>
      <c r="BW48" s="22">
        <v>3.0</v>
      </c>
      <c r="BX48" s="20">
        <v>2.0</v>
      </c>
      <c r="BY48" s="21">
        <f>IFERROR(BX48/BW48,"")</f>
        <v>0.6666666666666666</v>
      </c>
      <c r="BZ48" s="24">
        <v>1.0</v>
      </c>
      <c r="CA48" s="21">
        <v>0.0</v>
      </c>
      <c r="CB48" s="24"/>
      <c r="CC48" s="21">
        <v>0.0</v>
      </c>
      <c r="CD48" s="21">
        <v>0.0</v>
      </c>
      <c r="CE48" s="21">
        <v>0.6666666666666666</v>
      </c>
      <c r="CF48" s="24"/>
      <c r="CG48" s="21"/>
    </row>
    <row r="49" spans="1:85" s="14" customFormat="1" ht="18.6" customHeight="1">
      <c r="A49" s="14"/>
      <c r="B49" s="20"/>
      <c r="C49" s="20" t="s">
        <v>117</v>
      </c>
      <c r="D49" s="21"/>
      <c r="E49" s="21">
        <f>IFERROR(H49/G49,"")</f>
        <v>0.1111111111111111</v>
      </c>
      <c r="F49" s="21">
        <f>IFERROR(I49/G49,"")</f>
        <v>0.0</v>
      </c>
      <c r="G49" s="20">
        <v>27.0</v>
      </c>
      <c r="H49" s="22">
        <v>3.0</v>
      </c>
      <c r="I49" s="22">
        <v>0.0</v>
      </c>
      <c r="J49" s="22">
        <v>0.0</v>
      </c>
      <c r="K49" s="34">
        <f>J49/H49</f>
        <v>0.0</v>
      </c>
      <c r="L49" s="30">
        <f>IF(E49-D49&lt;0,0,CEILING((E49-D49)*G49,1))</f>
        <v>3.0</v>
      </c>
      <c r="M49" s="23">
        <v>0.0</v>
      </c>
      <c r="N49" s="23">
        <v>0.0</v>
      </c>
      <c r="O49" s="22"/>
      <c r="P49" s="22"/>
      <c r="Q49" s="22"/>
      <c r="R49" s="21"/>
      <c r="S49" s="23"/>
      <c r="T49" s="31"/>
      <c r="U49" s="22">
        <v>3.0</v>
      </c>
      <c r="V49" s="22">
        <v>0.0</v>
      </c>
      <c r="W49" s="22">
        <v>0.0</v>
      </c>
      <c r="X49" s="22">
        <v>0.0</v>
      </c>
      <c r="Y49" s="34">
        <v>0.0</v>
      </c>
      <c r="Z49" s="20">
        <v>1.0</v>
      </c>
      <c r="AA49" s="21">
        <f>IFERROR(Z49/U49,"")</f>
        <v>0.3333333333333333</v>
      </c>
      <c r="AB49" s="24">
        <v>4.0</v>
      </c>
      <c r="AC49" s="21">
        <v>0.0</v>
      </c>
      <c r="AD49" s="24"/>
      <c r="AE49" s="21">
        <v>0.0</v>
      </c>
      <c r="AF49" s="21">
        <v>0.0</v>
      </c>
      <c r="AG49" s="21">
        <v>0.3333333333333333</v>
      </c>
      <c r="AH49" s="24"/>
      <c r="AI49" s="21"/>
      <c r="AJ49" s="20">
        <v>3.0</v>
      </c>
      <c r="AK49" s="21">
        <f>IFERROR(AJ49/U49,"")</f>
        <v>1.0</v>
      </c>
      <c r="AL49" s="20">
        <v>0.0</v>
      </c>
      <c r="AM49" s="21">
        <v>0.0</v>
      </c>
      <c r="AN49" s="20">
        <v>1.0</v>
      </c>
      <c r="AO49" s="21">
        <f>IFERROR(AN49/AJ49,"")</f>
        <v>0.3333333333333333</v>
      </c>
      <c r="AP49" s="24">
        <v>4.0</v>
      </c>
      <c r="AQ49" s="21">
        <v>0.0</v>
      </c>
      <c r="AR49" s="24"/>
      <c r="AS49" s="21">
        <v>0.0</v>
      </c>
      <c r="AT49" s="21">
        <v>0.0</v>
      </c>
      <c r="AU49" s="21">
        <v>0.3333333333333333</v>
      </c>
      <c r="AV49" s="24"/>
      <c r="AW49" s="21"/>
      <c r="AX49" s="20">
        <v>0.0</v>
      </c>
      <c r="AY49" s="21">
        <f>IFERROR(AX49/U49,"")</f>
        <v>0.0</v>
      </c>
      <c r="AZ49" s="20"/>
      <c r="BA49" s="21"/>
      <c r="BB49" s="20">
        <v>0.0</v>
      </c>
      <c r="BC49" s="21" t="str">
        <f>IFERROR(BB49/AX49,"")</f>
        <v/>
      </c>
      <c r="BD49" s="24"/>
      <c r="BE49" s="21"/>
      <c r="BF49" s="24"/>
      <c r="BG49" s="21"/>
      <c r="BH49" s="21"/>
      <c r="BI49" s="21"/>
      <c r="BJ49" s="24"/>
      <c r="BK49" s="21"/>
      <c r="BL49" s="22">
        <v>0.0</v>
      </c>
      <c r="BM49" s="20">
        <v>0.0</v>
      </c>
      <c r="BN49" s="21" t="str">
        <f>IFERROR(BM49/BL49,"")</f>
        <v/>
      </c>
      <c r="BO49" s="24"/>
      <c r="BP49" s="21"/>
      <c r="BQ49" s="24"/>
      <c r="BR49" s="21"/>
      <c r="BS49" s="21"/>
      <c r="BT49" s="21"/>
      <c r="BU49" s="24"/>
      <c r="BV49" s="21"/>
      <c r="BW49" s="22">
        <v>0.0</v>
      </c>
      <c r="BX49" s="20">
        <v>0.0</v>
      </c>
      <c r="BY49" s="21" t="str">
        <f>IFERROR(BX49/BW49,"")</f>
        <v/>
      </c>
      <c r="BZ49" s="24"/>
      <c r="CA49" s="21"/>
      <c r="CB49" s="24"/>
      <c r="CC49" s="21"/>
      <c r="CD49" s="21"/>
      <c r="CE49" s="21"/>
      <c r="CF49" s="24"/>
      <c r="CG49" s="21"/>
    </row>
    <row r="50" spans="1:85" s="14" customFormat="1" ht="18.6" customHeight="1">
      <c r="A50" s="14"/>
      <c r="B50" s="20"/>
      <c r="C50" s="20" t="s">
        <v>118</v>
      </c>
      <c r="D50" s="21"/>
      <c r="E50" s="21">
        <f>IFERROR(H50/G50,"")</f>
        <v>0.07865168539325842</v>
      </c>
      <c r="F50" s="21">
        <f>IFERROR(I50/G50,"")</f>
        <v>0.0</v>
      </c>
      <c r="G50" s="20">
        <v>267.0</v>
      </c>
      <c r="H50" s="22">
        <v>21.0</v>
      </c>
      <c r="I50" s="22">
        <v>0.0</v>
      </c>
      <c r="J50" s="22">
        <v>7.0</v>
      </c>
      <c r="K50" s="34">
        <f>J50/H50</f>
        <v>0.3333333333333333</v>
      </c>
      <c r="L50" s="30">
        <f>IF(E50-D50&lt;0,0,CEILING((E50-D50)*G50,1))</f>
        <v>21.0</v>
      </c>
      <c r="M50" s="23">
        <v>5.0</v>
      </c>
      <c r="N50" s="23">
        <v>0.0</v>
      </c>
      <c r="O50" s="22"/>
      <c r="P50" s="22"/>
      <c r="Q50" s="22"/>
      <c r="R50" s="21"/>
      <c r="S50" s="23"/>
      <c r="T50" s="31"/>
      <c r="U50" s="22">
        <v>8.0</v>
      </c>
      <c r="V50" s="22">
        <v>0.0</v>
      </c>
      <c r="W50" s="22">
        <v>0.0</v>
      </c>
      <c r="X50" s="22">
        <v>0.0</v>
      </c>
      <c r="Y50" s="34">
        <v>0.0</v>
      </c>
      <c r="Z50" s="20">
        <v>2.0</v>
      </c>
      <c r="AA50" s="21">
        <f>IFERROR(Z50/U50,"")</f>
        <v>0.25</v>
      </c>
      <c r="AB50" s="24">
        <v>1.0</v>
      </c>
      <c r="AC50" s="21">
        <v>0.0</v>
      </c>
      <c r="AD50" s="24"/>
      <c r="AE50" s="21">
        <v>0.0</v>
      </c>
      <c r="AF50" s="21">
        <v>0.0</v>
      </c>
      <c r="AG50" s="21">
        <v>0.5</v>
      </c>
      <c r="AH50" s="24"/>
      <c r="AI50" s="21"/>
      <c r="AJ50" s="20">
        <v>7.0</v>
      </c>
      <c r="AK50" s="21">
        <f>IFERROR(AJ50/U50,"")</f>
        <v>0.875</v>
      </c>
      <c r="AL50" s="20">
        <v>0.0</v>
      </c>
      <c r="AM50" s="21">
        <v>0.0</v>
      </c>
      <c r="AN50" s="20">
        <v>2.0</v>
      </c>
      <c r="AO50" s="21">
        <f>IFERROR(AN50/AJ50,"")</f>
        <v>0.2857142857142857</v>
      </c>
      <c r="AP50" s="24">
        <v>1.0</v>
      </c>
      <c r="AQ50" s="21">
        <v>0.0</v>
      </c>
      <c r="AR50" s="24"/>
      <c r="AS50" s="21">
        <v>0.0</v>
      </c>
      <c r="AT50" s="21">
        <v>0.0</v>
      </c>
      <c r="AU50" s="21">
        <v>0.42857142857142855</v>
      </c>
      <c r="AV50" s="24"/>
      <c r="AW50" s="21"/>
      <c r="AX50" s="20">
        <v>1.0</v>
      </c>
      <c r="AY50" s="21">
        <f>IFERROR(AX50/U50,"")</f>
        <v>0.125</v>
      </c>
      <c r="AZ50" s="20">
        <v>0.0</v>
      </c>
      <c r="BA50" s="21">
        <v>0.0</v>
      </c>
      <c r="BB50" s="20">
        <v>0.0</v>
      </c>
      <c r="BC50" s="21">
        <f>IFERROR(BB50/AX50,"")</f>
        <v>0.0</v>
      </c>
      <c r="BD50" s="24"/>
      <c r="BE50" s="21"/>
      <c r="BF50" s="24"/>
      <c r="BG50" s="21">
        <v>0.0</v>
      </c>
      <c r="BH50" s="21">
        <v>0.0</v>
      </c>
      <c r="BI50" s="21">
        <v>1.0</v>
      </c>
      <c r="BJ50" s="24"/>
      <c r="BK50" s="21"/>
      <c r="BL50" s="22">
        <v>0.0</v>
      </c>
      <c r="BM50" s="20">
        <v>0.0</v>
      </c>
      <c r="BN50" s="21" t="str">
        <f>IFERROR(BM50/BL50,"")</f>
        <v/>
      </c>
      <c r="BO50" s="24"/>
      <c r="BP50" s="21"/>
      <c r="BQ50" s="24"/>
      <c r="BR50" s="21"/>
      <c r="BS50" s="21"/>
      <c r="BT50" s="21"/>
      <c r="BU50" s="24"/>
      <c r="BV50" s="21"/>
      <c r="BW50" s="22">
        <v>12.0</v>
      </c>
      <c r="BX50" s="20">
        <v>7.0</v>
      </c>
      <c r="BY50" s="21">
        <f>IFERROR(BX50/BW50,"")</f>
        <v>0.5833333333333334</v>
      </c>
      <c r="BZ50" s="24">
        <v>1.1428571428571428</v>
      </c>
      <c r="CA50" s="21">
        <v>0.0</v>
      </c>
      <c r="CB50" s="24"/>
      <c r="CC50" s="21">
        <v>0.0</v>
      </c>
      <c r="CD50" s="21">
        <v>0.0</v>
      </c>
      <c r="CE50" s="21">
        <v>0.9166666666666666</v>
      </c>
      <c r="CF50" s="24"/>
      <c r="CG50" s="21"/>
    </row>
    <row r="51" spans="1:85" s="14" customFormat="1" ht="18.6" customHeight="1">
      <c r="A51" s="14"/>
      <c r="B51" s="20"/>
      <c r="C51" s="20" t="s">
        <v>119</v>
      </c>
      <c r="D51" s="21"/>
      <c r="E51" s="21">
        <f>IFERROR(H51/G51,"")</f>
        <v>0.04</v>
      </c>
      <c r="F51" s="21">
        <f>IFERROR(I51/G51,"")</f>
        <v>0.0</v>
      </c>
      <c r="G51" s="20">
        <v>25.0</v>
      </c>
      <c r="H51" s="22">
        <v>1.0</v>
      </c>
      <c r="I51" s="22">
        <v>0.0</v>
      </c>
      <c r="J51" s="22">
        <v>0.0</v>
      </c>
      <c r="K51" s="34">
        <f>J51/H51</f>
        <v>0.0</v>
      </c>
      <c r="L51" s="30">
        <f>IF(E51-D51&lt;0,0,CEILING((E51-D51)*G51,1))</f>
        <v>1.0</v>
      </c>
      <c r="M51" s="23">
        <v>0.0</v>
      </c>
      <c r="N51" s="23">
        <v>0.0</v>
      </c>
      <c r="O51" s="22"/>
      <c r="P51" s="22"/>
      <c r="Q51" s="22"/>
      <c r="R51" s="21"/>
      <c r="S51" s="23"/>
      <c r="T51" s="31"/>
      <c r="U51" s="22">
        <v>0.0</v>
      </c>
      <c r="V51" s="22">
        <v>0.0</v>
      </c>
      <c r="W51" s="22">
        <v>0.0</v>
      </c>
      <c r="X51" s="22"/>
      <c r="Y51" s="34"/>
      <c r="Z51" s="20">
        <v>0.0</v>
      </c>
      <c r="AA51" s="21" t="str">
        <f>IFERROR(Z51/U51,"")</f>
        <v/>
      </c>
      <c r="AB51" s="24"/>
      <c r="AC51" s="21"/>
      <c r="AD51" s="24"/>
      <c r="AE51" s="21"/>
      <c r="AF51" s="21"/>
      <c r="AG51" s="21"/>
      <c r="AH51" s="24"/>
      <c r="AI51" s="21"/>
      <c r="AJ51" s="20">
        <v>0.0</v>
      </c>
      <c r="AK51" s="21" t="str">
        <f>IFERROR(AJ51/U51,"")</f>
        <v/>
      </c>
      <c r="AL51" s="20"/>
      <c r="AM51" s="21"/>
      <c r="AN51" s="20">
        <v>0.0</v>
      </c>
      <c r="AO51" s="21" t="str">
        <f>IFERROR(AN51/AJ51,"")</f>
        <v/>
      </c>
      <c r="AP51" s="24"/>
      <c r="AQ51" s="21"/>
      <c r="AR51" s="24"/>
      <c r="AS51" s="21"/>
      <c r="AT51" s="21"/>
      <c r="AU51" s="21"/>
      <c r="AV51" s="24"/>
      <c r="AW51" s="21"/>
      <c r="AX51" s="20">
        <v>0.0</v>
      </c>
      <c r="AY51" s="21" t="str">
        <f>IFERROR(AX51/U51,"")</f>
        <v/>
      </c>
      <c r="AZ51" s="20"/>
      <c r="BA51" s="21"/>
      <c r="BB51" s="20">
        <v>0.0</v>
      </c>
      <c r="BC51" s="21" t="str">
        <f>IFERROR(BB51/AX51,"")</f>
        <v/>
      </c>
      <c r="BD51" s="24"/>
      <c r="BE51" s="21"/>
      <c r="BF51" s="24"/>
      <c r="BG51" s="21"/>
      <c r="BH51" s="21"/>
      <c r="BI51" s="21"/>
      <c r="BJ51" s="24"/>
      <c r="BK51" s="21"/>
      <c r="BL51" s="22">
        <v>0.0</v>
      </c>
      <c r="BM51" s="20">
        <v>0.0</v>
      </c>
      <c r="BN51" s="21" t="str">
        <f>IFERROR(BM51/BL51,"")</f>
        <v/>
      </c>
      <c r="BO51" s="24"/>
      <c r="BP51" s="21"/>
      <c r="BQ51" s="24"/>
      <c r="BR51" s="21"/>
      <c r="BS51" s="21"/>
      <c r="BT51" s="21"/>
      <c r="BU51" s="24"/>
      <c r="BV51" s="21"/>
      <c r="BW51" s="22">
        <v>0.0</v>
      </c>
      <c r="BX51" s="20">
        <v>0.0</v>
      </c>
      <c r="BY51" s="21" t="str">
        <f>IFERROR(BX51/BW51,"")</f>
        <v/>
      </c>
      <c r="BZ51" s="24"/>
      <c r="CA51" s="21"/>
      <c r="CB51" s="24"/>
      <c r="CC51" s="21"/>
      <c r="CD51" s="21"/>
      <c r="CE51" s="21"/>
      <c r="CF51" s="24"/>
      <c r="CG51" s="21"/>
    </row>
    <row r="52" spans="1:85" s="14" customFormat="1" ht="18.6" customHeight="1">
      <c r="A52" s="14"/>
      <c r="B52" s="20"/>
      <c r="C52" s="20" t="s">
        <v>120</v>
      </c>
      <c r="D52" s="21"/>
      <c r="E52" s="21">
        <f>IFERROR(H52/G52,"")</f>
        <v>0.0392156862745098</v>
      </c>
      <c r="F52" s="21">
        <f>IFERROR(I52/G52,"")</f>
        <v>0.0</v>
      </c>
      <c r="G52" s="20">
        <v>51.0</v>
      </c>
      <c r="H52" s="22">
        <v>2.0</v>
      </c>
      <c r="I52" s="22">
        <v>0.0</v>
      </c>
      <c r="J52" s="22">
        <v>0.0</v>
      </c>
      <c r="K52" s="34">
        <f>J52/H52</f>
        <v>0.0</v>
      </c>
      <c r="L52" s="30">
        <f>IF(E52-D52&lt;0,0,CEILING((E52-D52)*G52,1))</f>
        <v>2.0</v>
      </c>
      <c r="M52" s="23">
        <v>0.0</v>
      </c>
      <c r="N52" s="23">
        <v>0.0</v>
      </c>
      <c r="O52" s="22"/>
      <c r="P52" s="22"/>
      <c r="Q52" s="22"/>
      <c r="R52" s="21"/>
      <c r="S52" s="23"/>
      <c r="T52" s="31"/>
      <c r="U52" s="22">
        <v>0.0</v>
      </c>
      <c r="V52" s="22">
        <v>0.0</v>
      </c>
      <c r="W52" s="22">
        <v>0.0</v>
      </c>
      <c r="X52" s="22"/>
      <c r="Y52" s="34"/>
      <c r="Z52" s="20">
        <v>0.0</v>
      </c>
      <c r="AA52" s="21" t="str">
        <f>IFERROR(Z52/U52,"")</f>
        <v/>
      </c>
      <c r="AB52" s="24"/>
      <c r="AC52" s="21"/>
      <c r="AD52" s="24"/>
      <c r="AE52" s="21"/>
      <c r="AF52" s="21"/>
      <c r="AG52" s="21"/>
      <c r="AH52" s="24"/>
      <c r="AI52" s="21"/>
      <c r="AJ52" s="20">
        <v>0.0</v>
      </c>
      <c r="AK52" s="21" t="str">
        <f>IFERROR(AJ52/U52,"")</f>
        <v/>
      </c>
      <c r="AL52" s="20"/>
      <c r="AM52" s="21"/>
      <c r="AN52" s="20">
        <v>0.0</v>
      </c>
      <c r="AO52" s="21" t="str">
        <f>IFERROR(AN52/AJ52,"")</f>
        <v/>
      </c>
      <c r="AP52" s="24"/>
      <c r="AQ52" s="21"/>
      <c r="AR52" s="24"/>
      <c r="AS52" s="21"/>
      <c r="AT52" s="21"/>
      <c r="AU52" s="21"/>
      <c r="AV52" s="24"/>
      <c r="AW52" s="21"/>
      <c r="AX52" s="20">
        <v>0.0</v>
      </c>
      <c r="AY52" s="21" t="str">
        <f>IFERROR(AX52/U52,"")</f>
        <v/>
      </c>
      <c r="AZ52" s="20"/>
      <c r="BA52" s="21"/>
      <c r="BB52" s="20">
        <v>0.0</v>
      </c>
      <c r="BC52" s="21" t="str">
        <f>IFERROR(BB52/AX52,"")</f>
        <v/>
      </c>
      <c r="BD52" s="24"/>
      <c r="BE52" s="21"/>
      <c r="BF52" s="24"/>
      <c r="BG52" s="21"/>
      <c r="BH52" s="21"/>
      <c r="BI52" s="21"/>
      <c r="BJ52" s="24"/>
      <c r="BK52" s="21"/>
      <c r="BL52" s="22">
        <v>0.0</v>
      </c>
      <c r="BM52" s="20">
        <v>0.0</v>
      </c>
      <c r="BN52" s="21" t="str">
        <f>IFERROR(BM52/BL52,"")</f>
        <v/>
      </c>
      <c r="BO52" s="24"/>
      <c r="BP52" s="21"/>
      <c r="BQ52" s="24"/>
      <c r="BR52" s="21"/>
      <c r="BS52" s="21"/>
      <c r="BT52" s="21"/>
      <c r="BU52" s="24"/>
      <c r="BV52" s="21"/>
      <c r="BW52" s="22">
        <v>1.0</v>
      </c>
      <c r="BX52" s="20">
        <v>1.0</v>
      </c>
      <c r="BY52" s="21">
        <f>IFERROR(BX52/BW52,"")</f>
        <v>1.0</v>
      </c>
      <c r="BZ52" s="24">
        <v>1.0</v>
      </c>
      <c r="CA52" s="21">
        <v>0.0</v>
      </c>
      <c r="CB52" s="24"/>
      <c r="CC52" s="21">
        <v>0.0</v>
      </c>
      <c r="CD52" s="21">
        <v>0.0</v>
      </c>
      <c r="CE52" s="21">
        <v>1.0</v>
      </c>
      <c r="CF52" s="24"/>
      <c r="CG52" s="21"/>
    </row>
    <row r="53" spans="1:85" s="14" customFormat="1" ht="18.6" customHeight="1">
      <c r="A53" s="14"/>
      <c r="B53" s="20"/>
      <c r="C53" s="20" t="s">
        <v>121</v>
      </c>
      <c r="D53" s="21"/>
      <c r="E53" s="21">
        <f>IFERROR(H53/G53,"")</f>
        <v>0.0</v>
      </c>
      <c r="F53" s="21">
        <f>IFERROR(I53/G53,"")</f>
        <v>0.0</v>
      </c>
      <c r="G53" s="20">
        <v>26.0</v>
      </c>
      <c r="H53" s="22">
        <v>0.0</v>
      </c>
      <c r="I53" s="22">
        <v>0.0</v>
      </c>
      <c r="J53" s="22">
        <v>0.0</v>
      </c>
      <c r="K53" s="34" t="e">
        <f>J53/H53</f>
        <v>#DIV/0!</v>
      </c>
      <c r="L53" s="30">
        <f>IF(E53-D53&lt;0,0,CEILING((E53-D53)*G53,1))</f>
        <v>0.0</v>
      </c>
      <c r="M53" s="23">
        <v>0.0</v>
      </c>
      <c r="N53" s="23">
        <v>0.0</v>
      </c>
      <c r="O53" s="22"/>
      <c r="P53" s="22"/>
      <c r="Q53" s="22"/>
      <c r="R53" s="21"/>
      <c r="S53" s="23"/>
      <c r="T53" s="31"/>
      <c r="U53" s="22">
        <v>0.0</v>
      </c>
      <c r="V53" s="22">
        <v>0.0</v>
      </c>
      <c r="W53" s="22">
        <v>0.0</v>
      </c>
      <c r="X53" s="22"/>
      <c r="Y53" s="34"/>
      <c r="Z53" s="20">
        <v>0.0</v>
      </c>
      <c r="AA53" s="21" t="str">
        <f>IFERROR(Z53/U53,"")</f>
        <v/>
      </c>
      <c r="AB53" s="24"/>
      <c r="AC53" s="21"/>
      <c r="AD53" s="24"/>
      <c r="AE53" s="21"/>
      <c r="AF53" s="21"/>
      <c r="AG53" s="21"/>
      <c r="AH53" s="24"/>
      <c r="AI53" s="21"/>
      <c r="AJ53" s="20">
        <v>0.0</v>
      </c>
      <c r="AK53" s="21" t="str">
        <f>IFERROR(AJ53/U53,"")</f>
        <v/>
      </c>
      <c r="AL53" s="20"/>
      <c r="AM53" s="21"/>
      <c r="AN53" s="20">
        <v>0.0</v>
      </c>
      <c r="AO53" s="21" t="str">
        <f>IFERROR(AN53/AJ53,"")</f>
        <v/>
      </c>
      <c r="AP53" s="24"/>
      <c r="AQ53" s="21"/>
      <c r="AR53" s="24"/>
      <c r="AS53" s="21"/>
      <c r="AT53" s="21"/>
      <c r="AU53" s="21"/>
      <c r="AV53" s="24"/>
      <c r="AW53" s="21"/>
      <c r="AX53" s="20">
        <v>0.0</v>
      </c>
      <c r="AY53" s="21" t="str">
        <f>IFERROR(AX53/U53,"")</f>
        <v/>
      </c>
      <c r="AZ53" s="20"/>
      <c r="BA53" s="21"/>
      <c r="BB53" s="20">
        <v>0.0</v>
      </c>
      <c r="BC53" s="21" t="str">
        <f>IFERROR(BB53/AX53,"")</f>
        <v/>
      </c>
      <c r="BD53" s="24"/>
      <c r="BE53" s="21"/>
      <c r="BF53" s="24"/>
      <c r="BG53" s="21"/>
      <c r="BH53" s="21"/>
      <c r="BI53" s="21"/>
      <c r="BJ53" s="24"/>
      <c r="BK53" s="21"/>
      <c r="BL53" s="22">
        <v>0.0</v>
      </c>
      <c r="BM53" s="20">
        <v>0.0</v>
      </c>
      <c r="BN53" s="21" t="str">
        <f>IFERROR(BM53/BL53,"")</f>
        <v/>
      </c>
      <c r="BO53" s="24"/>
      <c r="BP53" s="21"/>
      <c r="BQ53" s="24"/>
      <c r="BR53" s="21"/>
      <c r="BS53" s="21"/>
      <c r="BT53" s="21"/>
      <c r="BU53" s="24"/>
      <c r="BV53" s="21"/>
      <c r="BW53" s="22">
        <v>2.0</v>
      </c>
      <c r="BX53" s="20">
        <v>2.0</v>
      </c>
      <c r="BY53" s="21">
        <f>IFERROR(BX53/BW53,"")</f>
        <v>1.0</v>
      </c>
      <c r="BZ53" s="24">
        <v>1.5</v>
      </c>
      <c r="CA53" s="21">
        <v>0.0</v>
      </c>
      <c r="CB53" s="24"/>
      <c r="CC53" s="21">
        <v>0.0</v>
      </c>
      <c r="CD53" s="21">
        <v>0.0</v>
      </c>
      <c r="CE53" s="21">
        <v>1.0</v>
      </c>
      <c r="CF53" s="24"/>
      <c r="CG53" s="21"/>
    </row>
    <row r="54" spans="1:85" s="14" customFormat="1" ht="18.6" customHeight="1">
      <c r="A54" s="14"/>
      <c r="B54" s="20" t="s">
        <v>88</v>
      </c>
      <c r="C54" s="20" t="s">
        <v>122</v>
      </c>
      <c r="D54" s="21"/>
      <c r="E54" s="21">
        <f>IFERROR(H54/G54,"")</f>
        <v>0.07766990291262135</v>
      </c>
      <c r="F54" s="21">
        <f>IFERROR(I54/G54,"")</f>
        <v>0.0</v>
      </c>
      <c r="G54" s="20">
        <v>309.0</v>
      </c>
      <c r="H54" s="22">
        <v>24.0</v>
      </c>
      <c r="I54" s="22">
        <v>0.0</v>
      </c>
      <c r="J54" s="22">
        <v>8.0</v>
      </c>
      <c r="K54" s="34">
        <f>J54/H54</f>
        <v>0.3333333333333333</v>
      </c>
      <c r="L54" s="30">
        <f>IF(E54-D54&lt;0,0,CEILING((E54-D54)*G54,1))</f>
        <v>24.0</v>
      </c>
      <c r="M54" s="23">
        <v>2.0</v>
      </c>
      <c r="N54" s="23">
        <v>0.0</v>
      </c>
      <c r="O54" s="22"/>
      <c r="P54" s="22"/>
      <c r="Q54" s="22"/>
      <c r="R54" s="21"/>
      <c r="S54" s="23"/>
      <c r="T54" s="31"/>
      <c r="U54" s="22">
        <v>7.0</v>
      </c>
      <c r="V54" s="22">
        <v>0.0</v>
      </c>
      <c r="W54" s="22">
        <v>0.0</v>
      </c>
      <c r="X54" s="22">
        <v>0.0</v>
      </c>
      <c r="Y54" s="34">
        <v>0.0</v>
      </c>
      <c r="Z54" s="20">
        <v>1.0</v>
      </c>
      <c r="AA54" s="21">
        <f>IFERROR(Z54/U54,"")</f>
        <v>0.14285714285714285</v>
      </c>
      <c r="AB54" s="24">
        <v>1.0</v>
      </c>
      <c r="AC54" s="21">
        <v>1.0</v>
      </c>
      <c r="AD54" s="24">
        <v>2.8833333333333333</v>
      </c>
      <c r="AE54" s="21">
        <v>0.0</v>
      </c>
      <c r="AF54" s="21">
        <v>0.0</v>
      </c>
      <c r="AG54" s="21">
        <v>0.42857142857142855</v>
      </c>
      <c r="AH54" s="24"/>
      <c r="AI54" s="21"/>
      <c r="AJ54" s="20">
        <v>7.0</v>
      </c>
      <c r="AK54" s="21">
        <f>IFERROR(AJ54/U54,"")</f>
        <v>1.0</v>
      </c>
      <c r="AL54" s="20">
        <v>0.0</v>
      </c>
      <c r="AM54" s="21">
        <v>0.0</v>
      </c>
      <c r="AN54" s="20">
        <v>1.0</v>
      </c>
      <c r="AO54" s="21">
        <f>IFERROR(AN54/AJ54,"")</f>
        <v>0.14285714285714285</v>
      </c>
      <c r="AP54" s="24">
        <v>1.0</v>
      </c>
      <c r="AQ54" s="21">
        <v>1.0</v>
      </c>
      <c r="AR54" s="24">
        <v>2.8833333333333333</v>
      </c>
      <c r="AS54" s="21">
        <v>0.0</v>
      </c>
      <c r="AT54" s="21">
        <v>0.0</v>
      </c>
      <c r="AU54" s="21">
        <v>0.42857142857142855</v>
      </c>
      <c r="AV54" s="24"/>
      <c r="AW54" s="21"/>
      <c r="AX54" s="20">
        <v>0.0</v>
      </c>
      <c r="AY54" s="21">
        <f>IFERROR(AX54/U54,"")</f>
        <v>0.0</v>
      </c>
      <c r="AZ54" s="20"/>
      <c r="BA54" s="21"/>
      <c r="BB54" s="20">
        <v>0.0</v>
      </c>
      <c r="BC54" s="21" t="str">
        <f>IFERROR(BB54/AX54,"")</f>
        <v/>
      </c>
      <c r="BD54" s="24"/>
      <c r="BE54" s="21"/>
      <c r="BF54" s="24"/>
      <c r="BG54" s="21"/>
      <c r="BH54" s="21"/>
      <c r="BI54" s="21"/>
      <c r="BJ54" s="24"/>
      <c r="BK54" s="21"/>
      <c r="BL54" s="22">
        <v>1.0</v>
      </c>
      <c r="BM54" s="20">
        <v>0.0</v>
      </c>
      <c r="BN54" s="21">
        <f>IFERROR(BM54/BL54,"")</f>
        <v>0.0</v>
      </c>
      <c r="BO54" s="24"/>
      <c r="BP54" s="21"/>
      <c r="BQ54" s="24"/>
      <c r="BR54" s="21">
        <v>0.0</v>
      </c>
      <c r="BS54" s="21">
        <v>0.0</v>
      </c>
      <c r="BT54" s="21">
        <v>1.0</v>
      </c>
      <c r="BU54" s="24"/>
      <c r="BV54" s="21"/>
      <c r="BW54" s="22">
        <v>11.0</v>
      </c>
      <c r="BX54" s="20">
        <v>6.0</v>
      </c>
      <c r="BY54" s="21">
        <f>IFERROR(BX54/BW54,"")</f>
        <v>0.5454545454545454</v>
      </c>
      <c r="BZ54" s="24">
        <v>1.1666666666666667</v>
      </c>
      <c r="CA54" s="21">
        <v>0.0</v>
      </c>
      <c r="CB54" s="24"/>
      <c r="CC54" s="21">
        <v>0.0</v>
      </c>
      <c r="CD54" s="21">
        <v>0.0</v>
      </c>
      <c r="CE54" s="21">
        <v>0.6363636363636364</v>
      </c>
      <c r="CF54" s="24"/>
      <c r="CG54" s="21"/>
    </row>
    <row r="55" spans="1:85" s="14" customFormat="1" ht="18.6" customHeight="1">
      <c r="A55" s="14"/>
      <c r="B55" s="20"/>
      <c r="C55" s="20" t="s">
        <v>123</v>
      </c>
      <c r="D55" s="21"/>
      <c r="E55" s="21">
        <f>IFERROR(H55/G55,"")</f>
        <v>0.06598984771573604</v>
      </c>
      <c r="F55" s="21">
        <f>IFERROR(I55/G55,"")</f>
        <v>0.0</v>
      </c>
      <c r="G55" s="20">
        <v>394.0</v>
      </c>
      <c r="H55" s="22">
        <v>26.0</v>
      </c>
      <c r="I55" s="22">
        <v>0.0</v>
      </c>
      <c r="J55" s="22">
        <v>4.0</v>
      </c>
      <c r="K55" s="34">
        <f>J55/H55</f>
        <v>0.15384615384615385</v>
      </c>
      <c r="L55" s="30">
        <f>IF(E55-D55&lt;0,0,CEILING((E55-D55)*G55,1))</f>
        <v>26.0</v>
      </c>
      <c r="M55" s="23">
        <v>3.0</v>
      </c>
      <c r="N55" s="23">
        <v>0.0</v>
      </c>
      <c r="O55" s="22"/>
      <c r="P55" s="22"/>
      <c r="Q55" s="22"/>
      <c r="R55" s="21"/>
      <c r="S55" s="23"/>
      <c r="T55" s="31"/>
      <c r="U55" s="22">
        <v>8.0</v>
      </c>
      <c r="V55" s="22">
        <v>0.0</v>
      </c>
      <c r="W55" s="22">
        <v>0.0</v>
      </c>
      <c r="X55" s="22">
        <v>1.0</v>
      </c>
      <c r="Y55" s="34">
        <v>0.125</v>
      </c>
      <c r="Z55" s="20">
        <v>8.0</v>
      </c>
      <c r="AA55" s="21">
        <f>IFERROR(Z55/U55,"")</f>
        <v>1.0</v>
      </c>
      <c r="AB55" s="24">
        <v>1.125</v>
      </c>
      <c r="AC55" s="21">
        <v>0.0</v>
      </c>
      <c r="AD55" s="24"/>
      <c r="AE55" s="21">
        <v>0.0</v>
      </c>
      <c r="AF55" s="21">
        <v>0.0</v>
      </c>
      <c r="AG55" s="21">
        <v>1.0</v>
      </c>
      <c r="AH55" s="24"/>
      <c r="AI55" s="21"/>
      <c r="AJ55" s="20">
        <v>5.0</v>
      </c>
      <c r="AK55" s="21">
        <f>IFERROR(AJ55/U55,"")</f>
        <v>0.625</v>
      </c>
      <c r="AL55" s="20">
        <v>1.0</v>
      </c>
      <c r="AM55" s="21">
        <v>0.2</v>
      </c>
      <c r="AN55" s="20">
        <v>5.0</v>
      </c>
      <c r="AO55" s="21">
        <f>IFERROR(AN55/AJ55,"")</f>
        <v>1.0</v>
      </c>
      <c r="AP55" s="24">
        <v>1.0</v>
      </c>
      <c r="AQ55" s="21">
        <v>0.0</v>
      </c>
      <c r="AR55" s="24"/>
      <c r="AS55" s="21">
        <v>0.0</v>
      </c>
      <c r="AT55" s="21">
        <v>0.0</v>
      </c>
      <c r="AU55" s="21">
        <v>1.0</v>
      </c>
      <c r="AV55" s="24"/>
      <c r="AW55" s="21"/>
      <c r="AX55" s="20">
        <v>3.0</v>
      </c>
      <c r="AY55" s="21">
        <f>IFERROR(AX55/U55,"")</f>
        <v>0.375</v>
      </c>
      <c r="AZ55" s="20">
        <v>0.0</v>
      </c>
      <c r="BA55" s="21">
        <v>0.0</v>
      </c>
      <c r="BB55" s="20">
        <v>3.0</v>
      </c>
      <c r="BC55" s="21">
        <f>IFERROR(BB55/AX55,"")</f>
        <v>1.0</v>
      </c>
      <c r="BD55" s="24">
        <v>1.3333333333333333</v>
      </c>
      <c r="BE55" s="21">
        <v>0.0</v>
      </c>
      <c r="BF55" s="24"/>
      <c r="BG55" s="21">
        <v>0.0</v>
      </c>
      <c r="BH55" s="21">
        <v>0.0</v>
      </c>
      <c r="BI55" s="21">
        <v>1.0</v>
      </c>
      <c r="BJ55" s="24"/>
      <c r="BK55" s="21"/>
      <c r="BL55" s="22">
        <v>1.0</v>
      </c>
      <c r="BM55" s="20">
        <v>0.0</v>
      </c>
      <c r="BN55" s="21">
        <f>IFERROR(BM55/BL55,"")</f>
        <v>0.0</v>
      </c>
      <c r="BO55" s="24"/>
      <c r="BP55" s="21"/>
      <c r="BQ55" s="24"/>
      <c r="BR55" s="21">
        <v>0.0</v>
      </c>
      <c r="BS55" s="21">
        <v>0.0</v>
      </c>
      <c r="BT55" s="21">
        <v>1.0</v>
      </c>
      <c r="BU55" s="24"/>
      <c r="BV55" s="21"/>
      <c r="BW55" s="22">
        <v>11.0</v>
      </c>
      <c r="BX55" s="20">
        <v>3.0</v>
      </c>
      <c r="BY55" s="21">
        <f>IFERROR(BX55/BW55,"")</f>
        <v>0.2727272727272727</v>
      </c>
      <c r="BZ55" s="24">
        <v>1.0</v>
      </c>
      <c r="CA55" s="21">
        <v>0.0</v>
      </c>
      <c r="CB55" s="24"/>
      <c r="CC55" s="21">
        <v>0.0</v>
      </c>
      <c r="CD55" s="21">
        <v>0.0</v>
      </c>
      <c r="CE55" s="21">
        <v>0.6363636363636364</v>
      </c>
      <c r="CF55" s="24"/>
      <c r="CG55" s="21"/>
    </row>
    <row r="56" spans="1:85" s="14" customFormat="1" ht="18.6" customHeight="1">
      <c r="A56" s="14"/>
      <c r="B56" s="20"/>
      <c r="C56" s="20" t="s">
        <v>124</v>
      </c>
      <c r="D56" s="21"/>
      <c r="E56" s="21">
        <f>IFERROR(H56/G56,"")</f>
        <v>0.07446808510638298</v>
      </c>
      <c r="F56" s="21">
        <f>IFERROR(I56/G56,"")</f>
        <v>0.002127659574468085</v>
      </c>
      <c r="G56" s="20">
        <v>470.0</v>
      </c>
      <c r="H56" s="22">
        <v>35.0</v>
      </c>
      <c r="I56" s="22">
        <v>1.0</v>
      </c>
      <c r="J56" s="22">
        <v>9.0</v>
      </c>
      <c r="K56" s="34">
        <f>J56/H56</f>
        <v>0.2571428571428571</v>
      </c>
      <c r="L56" s="30">
        <f>IF(E56-D56&lt;0,0,CEILING((E56-D56)*G56,1))</f>
        <v>35.0</v>
      </c>
      <c r="M56" s="23">
        <v>4.0</v>
      </c>
      <c r="N56" s="23">
        <v>0.0</v>
      </c>
      <c r="O56" s="22"/>
      <c r="P56" s="22"/>
      <c r="Q56" s="22"/>
      <c r="R56" s="21"/>
      <c r="S56" s="23"/>
      <c r="T56" s="31"/>
      <c r="U56" s="22">
        <v>15.0</v>
      </c>
      <c r="V56" s="22">
        <v>1.0</v>
      </c>
      <c r="W56" s="22">
        <v>0.0</v>
      </c>
      <c r="X56" s="22">
        <v>0.0</v>
      </c>
      <c r="Y56" s="34">
        <v>0.0</v>
      </c>
      <c r="Z56" s="20">
        <v>13.0</v>
      </c>
      <c r="AA56" s="21">
        <f>IFERROR(Z56/U56,"")</f>
        <v>0.8666666666666667</v>
      </c>
      <c r="AB56" s="24">
        <v>1.6153846153846154</v>
      </c>
      <c r="AC56" s="21">
        <v>0.0</v>
      </c>
      <c r="AD56" s="24"/>
      <c r="AE56" s="21">
        <v>0.06666666666666667</v>
      </c>
      <c r="AF56" s="21">
        <v>0.06666666666666667</v>
      </c>
      <c r="AG56" s="21">
        <v>0.8</v>
      </c>
      <c r="AH56" s="24">
        <v>1.0</v>
      </c>
      <c r="AI56" s="21">
        <v>1.0</v>
      </c>
      <c r="AJ56" s="20">
        <v>14.0</v>
      </c>
      <c r="AK56" s="21">
        <f>IFERROR(AJ56/U56,"")</f>
        <v>0.9333333333333333</v>
      </c>
      <c r="AL56" s="20">
        <v>0.0</v>
      </c>
      <c r="AM56" s="21">
        <v>0.0</v>
      </c>
      <c r="AN56" s="20">
        <v>12.0</v>
      </c>
      <c r="AO56" s="21">
        <f>IFERROR(AN56/AJ56,"")</f>
        <v>0.8571428571428571</v>
      </c>
      <c r="AP56" s="24">
        <v>1.6666666666666667</v>
      </c>
      <c r="AQ56" s="21">
        <v>0.0</v>
      </c>
      <c r="AR56" s="24"/>
      <c r="AS56" s="21">
        <v>0.07142857142857142</v>
      </c>
      <c r="AT56" s="21">
        <v>0.07142857142857142</v>
      </c>
      <c r="AU56" s="21">
        <v>0.7857142857142857</v>
      </c>
      <c r="AV56" s="24">
        <v>1.0</v>
      </c>
      <c r="AW56" s="21">
        <v>1.0</v>
      </c>
      <c r="AX56" s="20">
        <v>1.0</v>
      </c>
      <c r="AY56" s="21">
        <f>IFERROR(AX56/U56,"")</f>
        <v>0.06666666666666667</v>
      </c>
      <c r="AZ56" s="20">
        <v>0.0</v>
      </c>
      <c r="BA56" s="21">
        <v>0.0</v>
      </c>
      <c r="BB56" s="20">
        <v>1.0</v>
      </c>
      <c r="BC56" s="21">
        <f>IFERROR(BB56/AX56,"")</f>
        <v>1.0</v>
      </c>
      <c r="BD56" s="24">
        <v>1.0</v>
      </c>
      <c r="BE56" s="21">
        <v>0.0</v>
      </c>
      <c r="BF56" s="24"/>
      <c r="BG56" s="21">
        <v>0.0</v>
      </c>
      <c r="BH56" s="21">
        <v>0.0</v>
      </c>
      <c r="BI56" s="21">
        <v>1.0</v>
      </c>
      <c r="BJ56" s="24"/>
      <c r="BK56" s="21"/>
      <c r="BL56" s="22">
        <v>0.0</v>
      </c>
      <c r="BM56" s="20">
        <v>0.0</v>
      </c>
      <c r="BN56" s="21" t="str">
        <f>IFERROR(BM56/BL56,"")</f>
        <v/>
      </c>
      <c r="BO56" s="24"/>
      <c r="BP56" s="21"/>
      <c r="BQ56" s="24"/>
      <c r="BR56" s="21"/>
      <c r="BS56" s="21"/>
      <c r="BT56" s="21"/>
      <c r="BU56" s="24"/>
      <c r="BV56" s="21"/>
      <c r="BW56" s="22">
        <v>20.0</v>
      </c>
      <c r="BX56" s="20">
        <v>12.0</v>
      </c>
      <c r="BY56" s="21">
        <f>IFERROR(BX56/BW56,"")</f>
        <v>0.6</v>
      </c>
      <c r="BZ56" s="24">
        <v>1.0833333333333333</v>
      </c>
      <c r="CA56" s="21">
        <v>0.0</v>
      </c>
      <c r="CB56" s="24"/>
      <c r="CC56" s="21">
        <v>0.0</v>
      </c>
      <c r="CD56" s="21">
        <v>0.0</v>
      </c>
      <c r="CE56" s="21">
        <v>0.55</v>
      </c>
      <c r="CF56" s="24"/>
      <c r="CG56" s="21"/>
    </row>
    <row r="57" spans="1:85" s="14" customFormat="1" ht="18.6" customHeight="1">
      <c r="A57" s="14"/>
      <c r="B57" s="20"/>
      <c r="C57" s="20" t="s">
        <v>125</v>
      </c>
      <c r="D57" s="21"/>
      <c r="E57" s="21">
        <f>IFERROR(H57/G57,"")</f>
        <v>0.045146726862302484</v>
      </c>
      <c r="F57" s="21">
        <f>IFERROR(I57/G57,"")</f>
        <v>0.0</v>
      </c>
      <c r="G57" s="20">
        <v>443.0</v>
      </c>
      <c r="H57" s="22">
        <v>20.0</v>
      </c>
      <c r="I57" s="22">
        <v>0.0</v>
      </c>
      <c r="J57" s="22">
        <v>4.0</v>
      </c>
      <c r="K57" s="34">
        <f>J57/H57</f>
        <v>0.2</v>
      </c>
      <c r="L57" s="30">
        <f>IF(E57-D57&lt;0,0,CEILING((E57-D57)*G57,1))</f>
        <v>20.0</v>
      </c>
      <c r="M57" s="23">
        <v>2.0</v>
      </c>
      <c r="N57" s="23">
        <v>0.0</v>
      </c>
      <c r="O57" s="22"/>
      <c r="P57" s="22"/>
      <c r="Q57" s="22"/>
      <c r="R57" s="21"/>
      <c r="S57" s="23"/>
      <c r="T57" s="31"/>
      <c r="U57" s="22">
        <v>8.0</v>
      </c>
      <c r="V57" s="22">
        <v>0.0</v>
      </c>
      <c r="W57" s="22">
        <v>0.0</v>
      </c>
      <c r="X57" s="22">
        <v>0.0</v>
      </c>
      <c r="Y57" s="34">
        <v>0.0</v>
      </c>
      <c r="Z57" s="20">
        <v>1.0</v>
      </c>
      <c r="AA57" s="21">
        <f>IFERROR(Z57/U57,"")</f>
        <v>0.125</v>
      </c>
      <c r="AB57" s="24">
        <v>1.0</v>
      </c>
      <c r="AC57" s="21">
        <v>0.0</v>
      </c>
      <c r="AD57" s="24"/>
      <c r="AE57" s="21">
        <v>0.0</v>
      </c>
      <c r="AF57" s="21">
        <v>0.0</v>
      </c>
      <c r="AG57" s="21">
        <v>0.875</v>
      </c>
      <c r="AH57" s="24"/>
      <c r="AI57" s="21"/>
      <c r="AJ57" s="20">
        <v>3.0</v>
      </c>
      <c r="AK57" s="21">
        <f>IFERROR(AJ57/U57,"")</f>
        <v>0.375</v>
      </c>
      <c r="AL57" s="20">
        <v>0.0</v>
      </c>
      <c r="AM57" s="21">
        <v>0.0</v>
      </c>
      <c r="AN57" s="20">
        <v>1.0</v>
      </c>
      <c r="AO57" s="21">
        <f>IFERROR(AN57/AJ57,"")</f>
        <v>0.3333333333333333</v>
      </c>
      <c r="AP57" s="24">
        <v>1.0</v>
      </c>
      <c r="AQ57" s="21">
        <v>0.0</v>
      </c>
      <c r="AR57" s="24"/>
      <c r="AS57" s="21">
        <v>0.0</v>
      </c>
      <c r="AT57" s="21">
        <v>0.0</v>
      </c>
      <c r="AU57" s="21">
        <v>1.0</v>
      </c>
      <c r="AV57" s="24"/>
      <c r="AW57" s="21"/>
      <c r="AX57" s="20">
        <v>5.0</v>
      </c>
      <c r="AY57" s="21">
        <f>IFERROR(AX57/U57,"")</f>
        <v>0.625</v>
      </c>
      <c r="AZ57" s="20">
        <v>0.0</v>
      </c>
      <c r="BA57" s="21">
        <v>0.0</v>
      </c>
      <c r="BB57" s="20">
        <v>0.0</v>
      </c>
      <c r="BC57" s="21">
        <f>IFERROR(BB57/AX57,"")</f>
        <v>0.0</v>
      </c>
      <c r="BD57" s="24"/>
      <c r="BE57" s="21"/>
      <c r="BF57" s="24"/>
      <c r="BG57" s="21">
        <v>0.0</v>
      </c>
      <c r="BH57" s="21">
        <v>0.0</v>
      </c>
      <c r="BI57" s="21">
        <v>0.8</v>
      </c>
      <c r="BJ57" s="24"/>
      <c r="BK57" s="21"/>
      <c r="BL57" s="22">
        <v>0.0</v>
      </c>
      <c r="BM57" s="20">
        <v>0.0</v>
      </c>
      <c r="BN57" s="21" t="str">
        <f>IFERROR(BM57/BL57,"")</f>
        <v/>
      </c>
      <c r="BO57" s="24"/>
      <c r="BP57" s="21"/>
      <c r="BQ57" s="24"/>
      <c r="BR57" s="21"/>
      <c r="BS57" s="21"/>
      <c r="BT57" s="21"/>
      <c r="BU57" s="24"/>
      <c r="BV57" s="21"/>
      <c r="BW57" s="22">
        <v>20.0</v>
      </c>
      <c r="BX57" s="20">
        <v>8.0</v>
      </c>
      <c r="BY57" s="21">
        <f>IFERROR(BX57/BW57,"")</f>
        <v>0.4</v>
      </c>
      <c r="BZ57" s="24">
        <v>1.25</v>
      </c>
      <c r="CA57" s="21">
        <v>0.2</v>
      </c>
      <c r="CB57" s="24">
        <v>6.3</v>
      </c>
      <c r="CC57" s="21">
        <v>0.0</v>
      </c>
      <c r="CD57" s="21">
        <v>0.0</v>
      </c>
      <c r="CE57" s="21">
        <v>0.8</v>
      </c>
      <c r="CF57" s="24"/>
      <c r="CG57" s="21"/>
    </row>
    <row r="58" spans="1:85" s="14" customFormat="1" ht="18.6" customHeight="1">
      <c r="A58" s="14"/>
      <c r="B58" s="20"/>
      <c r="C58" s="20" t="s">
        <v>126</v>
      </c>
      <c r="D58" s="21"/>
      <c r="E58" s="21">
        <f>IFERROR(H58/G58,"")</f>
        <v>0.06666666666666667</v>
      </c>
      <c r="F58" s="21">
        <f>IFERROR(I58/G58,"")</f>
        <v>0.0</v>
      </c>
      <c r="G58" s="20">
        <v>105.0</v>
      </c>
      <c r="H58" s="22">
        <v>7.0</v>
      </c>
      <c r="I58" s="22">
        <v>0.0</v>
      </c>
      <c r="J58" s="22">
        <v>1.0</v>
      </c>
      <c r="K58" s="34">
        <f>J58/H58</f>
        <v>0.14285714285714285</v>
      </c>
      <c r="L58" s="30">
        <f>IF(E58-D58&lt;0,0,CEILING((E58-D58)*G58,1))</f>
        <v>7.0</v>
      </c>
      <c r="M58" s="23">
        <v>0.0</v>
      </c>
      <c r="N58" s="23">
        <v>0.0</v>
      </c>
      <c r="O58" s="22"/>
      <c r="P58" s="22"/>
      <c r="Q58" s="22"/>
      <c r="R58" s="21"/>
      <c r="S58" s="23"/>
      <c r="T58" s="31"/>
      <c r="U58" s="22">
        <v>4.0</v>
      </c>
      <c r="V58" s="22">
        <v>0.0</v>
      </c>
      <c r="W58" s="22">
        <v>0.0</v>
      </c>
      <c r="X58" s="22">
        <v>0.0</v>
      </c>
      <c r="Y58" s="34">
        <v>0.0</v>
      </c>
      <c r="Z58" s="20">
        <v>1.0</v>
      </c>
      <c r="AA58" s="21">
        <f>IFERROR(Z58/U58,"")</f>
        <v>0.25</v>
      </c>
      <c r="AB58" s="24">
        <v>1.0</v>
      </c>
      <c r="AC58" s="21">
        <v>0.0</v>
      </c>
      <c r="AD58" s="24"/>
      <c r="AE58" s="21">
        <v>0.0</v>
      </c>
      <c r="AF58" s="21">
        <v>0.0</v>
      </c>
      <c r="AG58" s="21">
        <v>0.75</v>
      </c>
      <c r="AH58" s="24"/>
      <c r="AI58" s="21"/>
      <c r="AJ58" s="20">
        <v>4.0</v>
      </c>
      <c r="AK58" s="21">
        <f>IFERROR(AJ58/U58,"")</f>
        <v>1.0</v>
      </c>
      <c r="AL58" s="20">
        <v>0.0</v>
      </c>
      <c r="AM58" s="21">
        <v>0.0</v>
      </c>
      <c r="AN58" s="20">
        <v>1.0</v>
      </c>
      <c r="AO58" s="21">
        <f>IFERROR(AN58/AJ58,"")</f>
        <v>0.25</v>
      </c>
      <c r="AP58" s="24">
        <v>1.0</v>
      </c>
      <c r="AQ58" s="21">
        <v>0.0</v>
      </c>
      <c r="AR58" s="24"/>
      <c r="AS58" s="21">
        <v>0.0</v>
      </c>
      <c r="AT58" s="21">
        <v>0.0</v>
      </c>
      <c r="AU58" s="21">
        <v>0.75</v>
      </c>
      <c r="AV58" s="24"/>
      <c r="AW58" s="21"/>
      <c r="AX58" s="20">
        <v>0.0</v>
      </c>
      <c r="AY58" s="21">
        <f>IFERROR(AX58/U58,"")</f>
        <v>0.0</v>
      </c>
      <c r="AZ58" s="20"/>
      <c r="BA58" s="21"/>
      <c r="BB58" s="20">
        <v>0.0</v>
      </c>
      <c r="BC58" s="21" t="str">
        <f>IFERROR(BB58/AX58,"")</f>
        <v/>
      </c>
      <c r="BD58" s="24"/>
      <c r="BE58" s="21"/>
      <c r="BF58" s="24"/>
      <c r="BG58" s="21"/>
      <c r="BH58" s="21"/>
      <c r="BI58" s="21"/>
      <c r="BJ58" s="24"/>
      <c r="BK58" s="21"/>
      <c r="BL58" s="22">
        <v>0.0</v>
      </c>
      <c r="BM58" s="20">
        <v>0.0</v>
      </c>
      <c r="BN58" s="21" t="str">
        <f>IFERROR(BM58/BL58,"")</f>
        <v/>
      </c>
      <c r="BO58" s="24"/>
      <c r="BP58" s="21"/>
      <c r="BQ58" s="24"/>
      <c r="BR58" s="21"/>
      <c r="BS58" s="21"/>
      <c r="BT58" s="21"/>
      <c r="BU58" s="24"/>
      <c r="BV58" s="21"/>
      <c r="BW58" s="22">
        <v>6.0</v>
      </c>
      <c r="BX58" s="20">
        <v>3.0</v>
      </c>
      <c r="BY58" s="21">
        <f>IFERROR(BX58/BW58,"")</f>
        <v>0.5</v>
      </c>
      <c r="BZ58" s="24">
        <v>1.3333333333333333</v>
      </c>
      <c r="CA58" s="21">
        <v>0.0</v>
      </c>
      <c r="CB58" s="24"/>
      <c r="CC58" s="21">
        <v>0.0</v>
      </c>
      <c r="CD58" s="21">
        <v>0.0</v>
      </c>
      <c r="CE58" s="21">
        <v>0.8333333333333334</v>
      </c>
      <c r="CF58" s="24"/>
      <c r="CG58" s="21"/>
    </row>
    <row r="59" spans="1:85" s="14" customFormat="1" ht="18.6" customHeight="1">
      <c r="A59" s="14"/>
      <c r="B59" s="20"/>
      <c r="C59" s="20" t="s">
        <v>127</v>
      </c>
      <c r="D59" s="21"/>
      <c r="E59" s="21">
        <f>IFERROR(H59/G59,"")</f>
        <v>0.07272727272727272</v>
      </c>
      <c r="F59" s="21">
        <f>IFERROR(I59/G59,"")</f>
        <v>0.0030303030303030303</v>
      </c>
      <c r="G59" s="20">
        <v>330.0</v>
      </c>
      <c r="H59" s="22">
        <v>24.0</v>
      </c>
      <c r="I59" s="22">
        <v>1.0</v>
      </c>
      <c r="J59" s="22">
        <v>7.0</v>
      </c>
      <c r="K59" s="34">
        <f>J59/H59</f>
        <v>0.2916666666666667</v>
      </c>
      <c r="L59" s="30">
        <f>IF(E59-D59&lt;0,0,CEILING((E59-D59)*G59,1))</f>
        <v>24.0</v>
      </c>
      <c r="M59" s="23">
        <v>3.0</v>
      </c>
      <c r="N59" s="23">
        <v>0.0</v>
      </c>
      <c r="O59" s="22"/>
      <c r="P59" s="22"/>
      <c r="Q59" s="22"/>
      <c r="R59" s="21"/>
      <c r="S59" s="23"/>
      <c r="T59" s="31"/>
      <c r="U59" s="22">
        <v>6.0</v>
      </c>
      <c r="V59" s="22">
        <v>0.0</v>
      </c>
      <c r="W59" s="22">
        <v>0.0</v>
      </c>
      <c r="X59" s="22">
        <v>0.0</v>
      </c>
      <c r="Y59" s="34">
        <v>0.0</v>
      </c>
      <c r="Z59" s="20">
        <v>5.0</v>
      </c>
      <c r="AA59" s="21">
        <f>IFERROR(Z59/U59,"")</f>
        <v>0.8333333333333334</v>
      </c>
      <c r="AB59" s="24">
        <v>1.0</v>
      </c>
      <c r="AC59" s="21">
        <v>0.2</v>
      </c>
      <c r="AD59" s="24">
        <v>2.4166666666666665</v>
      </c>
      <c r="AE59" s="21">
        <v>0.0</v>
      </c>
      <c r="AF59" s="21">
        <v>0.0</v>
      </c>
      <c r="AG59" s="21">
        <v>0.8333333333333334</v>
      </c>
      <c r="AH59" s="24"/>
      <c r="AI59" s="21"/>
      <c r="AJ59" s="20">
        <v>4.0</v>
      </c>
      <c r="AK59" s="21">
        <f>IFERROR(AJ59/U59,"")</f>
        <v>0.6666666666666666</v>
      </c>
      <c r="AL59" s="20">
        <v>0.0</v>
      </c>
      <c r="AM59" s="21">
        <v>0.0</v>
      </c>
      <c r="AN59" s="20">
        <v>3.0</v>
      </c>
      <c r="AO59" s="21">
        <f>IFERROR(AN59/AJ59,"")</f>
        <v>0.75</v>
      </c>
      <c r="AP59" s="24">
        <v>1.0</v>
      </c>
      <c r="AQ59" s="21">
        <v>0.3333333333333333</v>
      </c>
      <c r="AR59" s="24">
        <v>2.4166666666666665</v>
      </c>
      <c r="AS59" s="21">
        <v>0.0</v>
      </c>
      <c r="AT59" s="21">
        <v>0.0</v>
      </c>
      <c r="AU59" s="21">
        <v>0.75</v>
      </c>
      <c r="AV59" s="24"/>
      <c r="AW59" s="21"/>
      <c r="AX59" s="20">
        <v>2.0</v>
      </c>
      <c r="AY59" s="21">
        <f>IFERROR(AX59/U59,"")</f>
        <v>0.3333333333333333</v>
      </c>
      <c r="AZ59" s="20">
        <v>0.0</v>
      </c>
      <c r="BA59" s="21">
        <v>0.0</v>
      </c>
      <c r="BB59" s="20">
        <v>2.0</v>
      </c>
      <c r="BC59" s="21">
        <f>IFERROR(BB59/AX59,"")</f>
        <v>1.0</v>
      </c>
      <c r="BD59" s="24">
        <v>1.0</v>
      </c>
      <c r="BE59" s="21">
        <v>0.0</v>
      </c>
      <c r="BF59" s="24"/>
      <c r="BG59" s="21">
        <v>0.0</v>
      </c>
      <c r="BH59" s="21">
        <v>0.0</v>
      </c>
      <c r="BI59" s="21">
        <v>1.0</v>
      </c>
      <c r="BJ59" s="24"/>
      <c r="BK59" s="21"/>
      <c r="BL59" s="22">
        <v>0.0</v>
      </c>
      <c r="BM59" s="20">
        <v>0.0</v>
      </c>
      <c r="BN59" s="21" t="str">
        <f>IFERROR(BM59/BL59,"")</f>
        <v/>
      </c>
      <c r="BO59" s="24"/>
      <c r="BP59" s="21"/>
      <c r="BQ59" s="24"/>
      <c r="BR59" s="21"/>
      <c r="BS59" s="21"/>
      <c r="BT59" s="21"/>
      <c r="BU59" s="24"/>
      <c r="BV59" s="21"/>
      <c r="BW59" s="22">
        <v>22.0</v>
      </c>
      <c r="BX59" s="20">
        <v>13.0</v>
      </c>
      <c r="BY59" s="21">
        <f>IFERROR(BX59/BW59,"")</f>
        <v>0.5909090909090909</v>
      </c>
      <c r="BZ59" s="24">
        <v>1.3076923076923077</v>
      </c>
      <c r="CA59" s="21">
        <v>0.058823529411764705</v>
      </c>
      <c r="CB59" s="24">
        <v>2.1333333333333333</v>
      </c>
      <c r="CC59" s="21">
        <v>0.0</v>
      </c>
      <c r="CD59" s="21">
        <v>0.0</v>
      </c>
      <c r="CE59" s="21">
        <v>0.7727272727272727</v>
      </c>
      <c r="CF59" s="24"/>
      <c r="CG59" s="21"/>
    </row>
    <row r="60" spans="1:85" s="14" customFormat="1" ht="18.6" customHeight="1">
      <c r="A60" s="14"/>
      <c r="B60" s="20"/>
      <c r="C60" s="20" t="s">
        <v>128</v>
      </c>
      <c r="D60" s="21"/>
      <c r="E60" s="21">
        <f>IFERROR(H60/G60,"")</f>
        <v>0.06956521739130435</v>
      </c>
      <c r="F60" s="21">
        <f>IFERROR(I60/G60,"")</f>
        <v>0.0</v>
      </c>
      <c r="G60" s="20">
        <v>115.0</v>
      </c>
      <c r="H60" s="22">
        <v>8.0</v>
      </c>
      <c r="I60" s="22">
        <v>0.0</v>
      </c>
      <c r="J60" s="22">
        <v>4.0</v>
      </c>
      <c r="K60" s="34">
        <f>J60/H60</f>
        <v>0.5</v>
      </c>
      <c r="L60" s="30">
        <f>IF(E60-D60&lt;0,0,CEILING((E60-D60)*G60,1))</f>
        <v>8.0</v>
      </c>
      <c r="M60" s="23">
        <v>1.0</v>
      </c>
      <c r="N60" s="23">
        <v>1.0</v>
      </c>
      <c r="O60" s="22"/>
      <c r="P60" s="22"/>
      <c r="Q60" s="22"/>
      <c r="R60" s="21"/>
      <c r="S60" s="23"/>
      <c r="T60" s="31"/>
      <c r="U60" s="22">
        <v>4.0</v>
      </c>
      <c r="V60" s="22">
        <v>0.0</v>
      </c>
      <c r="W60" s="22">
        <v>0.0</v>
      </c>
      <c r="X60" s="22">
        <v>0.0</v>
      </c>
      <c r="Y60" s="34">
        <v>0.0</v>
      </c>
      <c r="Z60" s="20">
        <v>3.0</v>
      </c>
      <c r="AA60" s="21">
        <f>IFERROR(Z60/U60,"")</f>
        <v>0.75</v>
      </c>
      <c r="AB60" s="24">
        <v>1.0</v>
      </c>
      <c r="AC60" s="21">
        <v>0.0</v>
      </c>
      <c r="AD60" s="24"/>
      <c r="AE60" s="21">
        <v>0.0</v>
      </c>
      <c r="AF60" s="21">
        <v>0.0</v>
      </c>
      <c r="AG60" s="21">
        <v>1.0</v>
      </c>
      <c r="AH60" s="24"/>
      <c r="AI60" s="21"/>
      <c r="AJ60" s="20">
        <v>4.0</v>
      </c>
      <c r="AK60" s="21">
        <f>IFERROR(AJ60/U60,"")</f>
        <v>1.0</v>
      </c>
      <c r="AL60" s="20">
        <v>0.0</v>
      </c>
      <c r="AM60" s="21">
        <v>0.0</v>
      </c>
      <c r="AN60" s="20">
        <v>3.0</v>
      </c>
      <c r="AO60" s="21">
        <f>IFERROR(AN60/AJ60,"")</f>
        <v>0.75</v>
      </c>
      <c r="AP60" s="24">
        <v>1.0</v>
      </c>
      <c r="AQ60" s="21">
        <v>0.0</v>
      </c>
      <c r="AR60" s="24"/>
      <c r="AS60" s="21">
        <v>0.0</v>
      </c>
      <c r="AT60" s="21">
        <v>0.0</v>
      </c>
      <c r="AU60" s="21">
        <v>1.0</v>
      </c>
      <c r="AV60" s="24"/>
      <c r="AW60" s="21"/>
      <c r="AX60" s="20">
        <v>0.0</v>
      </c>
      <c r="AY60" s="21">
        <f>IFERROR(AX60/U60,"")</f>
        <v>0.0</v>
      </c>
      <c r="AZ60" s="20"/>
      <c r="BA60" s="21"/>
      <c r="BB60" s="20">
        <v>0.0</v>
      </c>
      <c r="BC60" s="21" t="str">
        <f>IFERROR(BB60/AX60,"")</f>
        <v/>
      </c>
      <c r="BD60" s="24"/>
      <c r="BE60" s="21"/>
      <c r="BF60" s="24"/>
      <c r="BG60" s="21"/>
      <c r="BH60" s="21"/>
      <c r="BI60" s="21"/>
      <c r="BJ60" s="24"/>
      <c r="BK60" s="21"/>
      <c r="BL60" s="22">
        <v>0.0</v>
      </c>
      <c r="BM60" s="20">
        <v>0.0</v>
      </c>
      <c r="BN60" s="21" t="str">
        <f>IFERROR(BM60/BL60,"")</f>
        <v/>
      </c>
      <c r="BO60" s="24"/>
      <c r="BP60" s="21"/>
      <c r="BQ60" s="24"/>
      <c r="BR60" s="21"/>
      <c r="BS60" s="21"/>
      <c r="BT60" s="21"/>
      <c r="BU60" s="24"/>
      <c r="BV60" s="21"/>
      <c r="BW60" s="22">
        <v>8.0</v>
      </c>
      <c r="BX60" s="20">
        <v>3.0</v>
      </c>
      <c r="BY60" s="21">
        <f>IFERROR(BX60/BW60,"")</f>
        <v>0.375</v>
      </c>
      <c r="BZ60" s="24">
        <v>1.6666666666666667</v>
      </c>
      <c r="CA60" s="21">
        <v>0.2</v>
      </c>
      <c r="CB60" s="24">
        <v>7.866666666666666</v>
      </c>
      <c r="CC60" s="21">
        <v>0.0</v>
      </c>
      <c r="CD60" s="21">
        <v>0.0</v>
      </c>
      <c r="CE60" s="21">
        <v>0.875</v>
      </c>
      <c r="CF60" s="24"/>
      <c r="CG60" s="21"/>
    </row>
    <row r="61" spans="1:85" s="14" customFormat="1" ht="18.6" customHeight="1">
      <c r="A61" s="14"/>
      <c r="B61" s="20"/>
      <c r="C61" s="20" t="s">
        <v>129</v>
      </c>
      <c r="D61" s="21"/>
      <c r="E61" s="21">
        <f>IFERROR(H61/G61,"")</f>
        <v>0.09009009009009009</v>
      </c>
      <c r="F61" s="21">
        <f>IFERROR(I61/G61,"")</f>
        <v>0.0</v>
      </c>
      <c r="G61" s="20">
        <v>111.0</v>
      </c>
      <c r="H61" s="22">
        <v>10.0</v>
      </c>
      <c r="I61" s="22">
        <v>0.0</v>
      </c>
      <c r="J61" s="22">
        <v>2.0</v>
      </c>
      <c r="K61" s="34">
        <f>J61/H61</f>
        <v>0.2</v>
      </c>
      <c r="L61" s="30">
        <f>IF(E61-D61&lt;0,0,CEILING((E61-D61)*G61,1))</f>
        <v>10.0</v>
      </c>
      <c r="M61" s="23">
        <v>2.0</v>
      </c>
      <c r="N61" s="23">
        <v>0.0</v>
      </c>
      <c r="O61" s="22"/>
      <c r="P61" s="22"/>
      <c r="Q61" s="22"/>
      <c r="R61" s="21"/>
      <c r="S61" s="23"/>
      <c r="T61" s="31"/>
      <c r="U61" s="22">
        <v>6.0</v>
      </c>
      <c r="V61" s="22">
        <v>0.0</v>
      </c>
      <c r="W61" s="22">
        <v>0.0</v>
      </c>
      <c r="X61" s="22">
        <v>0.0</v>
      </c>
      <c r="Y61" s="34">
        <v>0.0</v>
      </c>
      <c r="Z61" s="20">
        <v>5.0</v>
      </c>
      <c r="AA61" s="21">
        <f>IFERROR(Z61/U61,"")</f>
        <v>0.8333333333333334</v>
      </c>
      <c r="AB61" s="24">
        <v>2.2</v>
      </c>
      <c r="AC61" s="21">
        <v>0.0</v>
      </c>
      <c r="AD61" s="24"/>
      <c r="AE61" s="21">
        <v>0.0</v>
      </c>
      <c r="AF61" s="21">
        <v>0.0</v>
      </c>
      <c r="AG61" s="21">
        <v>0.8333333333333334</v>
      </c>
      <c r="AH61" s="24"/>
      <c r="AI61" s="21"/>
      <c r="AJ61" s="20">
        <v>5.0</v>
      </c>
      <c r="AK61" s="21">
        <f>IFERROR(AJ61/U61,"")</f>
        <v>0.8333333333333334</v>
      </c>
      <c r="AL61" s="20">
        <v>0.0</v>
      </c>
      <c r="AM61" s="21">
        <v>0.0</v>
      </c>
      <c r="AN61" s="20">
        <v>4.0</v>
      </c>
      <c r="AO61" s="21">
        <f>IFERROR(AN61/AJ61,"")</f>
        <v>0.8</v>
      </c>
      <c r="AP61" s="24">
        <v>2.5</v>
      </c>
      <c r="AQ61" s="21">
        <v>0.0</v>
      </c>
      <c r="AR61" s="24"/>
      <c r="AS61" s="21">
        <v>0.0</v>
      </c>
      <c r="AT61" s="21">
        <v>0.0</v>
      </c>
      <c r="AU61" s="21">
        <v>0.8</v>
      </c>
      <c r="AV61" s="24"/>
      <c r="AW61" s="21"/>
      <c r="AX61" s="20">
        <v>1.0</v>
      </c>
      <c r="AY61" s="21">
        <f>IFERROR(AX61/U61,"")</f>
        <v>0.16666666666666666</v>
      </c>
      <c r="AZ61" s="20">
        <v>0.0</v>
      </c>
      <c r="BA61" s="21">
        <v>0.0</v>
      </c>
      <c r="BB61" s="20">
        <v>1.0</v>
      </c>
      <c r="BC61" s="21">
        <f>IFERROR(BB61/AX61,"")</f>
        <v>1.0</v>
      </c>
      <c r="BD61" s="24">
        <v>1.0</v>
      </c>
      <c r="BE61" s="21">
        <v>0.0</v>
      </c>
      <c r="BF61" s="24"/>
      <c r="BG61" s="21">
        <v>0.0</v>
      </c>
      <c r="BH61" s="21">
        <v>0.0</v>
      </c>
      <c r="BI61" s="21">
        <v>1.0</v>
      </c>
      <c r="BJ61" s="24"/>
      <c r="BK61" s="21"/>
      <c r="BL61" s="22">
        <v>0.0</v>
      </c>
      <c r="BM61" s="20">
        <v>0.0</v>
      </c>
      <c r="BN61" s="21" t="str">
        <f>IFERROR(BM61/BL61,"")</f>
        <v/>
      </c>
      <c r="BO61" s="24"/>
      <c r="BP61" s="21"/>
      <c r="BQ61" s="24"/>
      <c r="BR61" s="21"/>
      <c r="BS61" s="21"/>
      <c r="BT61" s="21"/>
      <c r="BU61" s="24"/>
      <c r="BV61" s="21"/>
      <c r="BW61" s="22">
        <v>8.0</v>
      </c>
      <c r="BX61" s="20">
        <v>3.0</v>
      </c>
      <c r="BY61" s="21">
        <f>IFERROR(BX61/BW61,"")</f>
        <v>0.375</v>
      </c>
      <c r="BZ61" s="24">
        <v>1.6666666666666667</v>
      </c>
      <c r="CA61" s="21">
        <v>0.2</v>
      </c>
      <c r="CB61" s="24">
        <v>2.1166666666666667</v>
      </c>
      <c r="CC61" s="21">
        <v>0.0</v>
      </c>
      <c r="CD61" s="21">
        <v>0.0</v>
      </c>
      <c r="CE61" s="21">
        <v>0.875</v>
      </c>
      <c r="CF61" s="24"/>
      <c r="CG61" s="21"/>
    </row>
    <row r="62" spans="1:85" s="14" customFormat="1" ht="18.6" customHeight="1">
      <c r="A62" s="14"/>
      <c r="B62" s="20"/>
      <c r="C62" s="20" t="s">
        <v>130</v>
      </c>
      <c r="D62" s="21"/>
      <c r="E62" s="21">
        <f>IFERROR(H62/G62,"")</f>
        <v>0.052083333333333336</v>
      </c>
      <c r="F62" s="21">
        <f>IFERROR(I62/G62,"")</f>
        <v>0.0</v>
      </c>
      <c r="G62" s="20">
        <v>96.0</v>
      </c>
      <c r="H62" s="22">
        <v>5.0</v>
      </c>
      <c r="I62" s="22">
        <v>0.0</v>
      </c>
      <c r="J62" s="22">
        <v>0.0</v>
      </c>
      <c r="K62" s="34">
        <f>J62/H62</f>
        <v>0.0</v>
      </c>
      <c r="L62" s="30">
        <f>IF(E62-D62&lt;0,0,CEILING((E62-D62)*G62,1))</f>
        <v>5.0</v>
      </c>
      <c r="M62" s="23">
        <v>0.0</v>
      </c>
      <c r="N62" s="23">
        <v>0.0</v>
      </c>
      <c r="O62" s="22"/>
      <c r="P62" s="22"/>
      <c r="Q62" s="22"/>
      <c r="R62" s="21"/>
      <c r="S62" s="23"/>
      <c r="T62" s="31"/>
      <c r="U62" s="22">
        <v>1.0</v>
      </c>
      <c r="V62" s="22">
        <v>0.0</v>
      </c>
      <c r="W62" s="22">
        <v>0.0</v>
      </c>
      <c r="X62" s="22">
        <v>0.0</v>
      </c>
      <c r="Y62" s="34">
        <v>0.0</v>
      </c>
      <c r="Z62" s="20">
        <v>1.0</v>
      </c>
      <c r="AA62" s="21">
        <f>IFERROR(Z62/U62,"")</f>
        <v>1.0</v>
      </c>
      <c r="AB62" s="24">
        <v>1.0</v>
      </c>
      <c r="AC62" s="21">
        <v>0.0</v>
      </c>
      <c r="AD62" s="24"/>
      <c r="AE62" s="21">
        <v>0.0</v>
      </c>
      <c r="AF62" s="21">
        <v>0.0</v>
      </c>
      <c r="AG62" s="21">
        <v>1.0</v>
      </c>
      <c r="AH62" s="24"/>
      <c r="AI62" s="21"/>
      <c r="AJ62" s="20">
        <v>0.0</v>
      </c>
      <c r="AK62" s="21">
        <f>IFERROR(AJ62/U62,"")</f>
        <v>0.0</v>
      </c>
      <c r="AL62" s="20"/>
      <c r="AM62" s="21"/>
      <c r="AN62" s="20">
        <v>0.0</v>
      </c>
      <c r="AO62" s="21" t="str">
        <f>IFERROR(AN62/AJ62,"")</f>
        <v/>
      </c>
      <c r="AP62" s="24"/>
      <c r="AQ62" s="21"/>
      <c r="AR62" s="24"/>
      <c r="AS62" s="21"/>
      <c r="AT62" s="21"/>
      <c r="AU62" s="21"/>
      <c r="AV62" s="24"/>
      <c r="AW62" s="21"/>
      <c r="AX62" s="20">
        <v>1.0</v>
      </c>
      <c r="AY62" s="21">
        <f>IFERROR(AX62/U62,"")</f>
        <v>1.0</v>
      </c>
      <c r="AZ62" s="20">
        <v>0.0</v>
      </c>
      <c r="BA62" s="21">
        <v>0.0</v>
      </c>
      <c r="BB62" s="20">
        <v>1.0</v>
      </c>
      <c r="BC62" s="21">
        <f>IFERROR(BB62/AX62,"")</f>
        <v>1.0</v>
      </c>
      <c r="BD62" s="24">
        <v>1.0</v>
      </c>
      <c r="BE62" s="21">
        <v>0.0</v>
      </c>
      <c r="BF62" s="24"/>
      <c r="BG62" s="21">
        <v>0.0</v>
      </c>
      <c r="BH62" s="21">
        <v>0.0</v>
      </c>
      <c r="BI62" s="21">
        <v>1.0</v>
      </c>
      <c r="BJ62" s="24"/>
      <c r="BK62" s="21"/>
      <c r="BL62" s="22">
        <v>0.0</v>
      </c>
      <c r="BM62" s="20">
        <v>0.0</v>
      </c>
      <c r="BN62" s="21" t="str">
        <f>IFERROR(BM62/BL62,"")</f>
        <v/>
      </c>
      <c r="BO62" s="24"/>
      <c r="BP62" s="21"/>
      <c r="BQ62" s="24"/>
      <c r="BR62" s="21"/>
      <c r="BS62" s="21"/>
      <c r="BT62" s="21"/>
      <c r="BU62" s="24"/>
      <c r="BV62" s="21"/>
      <c r="BW62" s="22">
        <v>5.0</v>
      </c>
      <c r="BX62" s="20">
        <v>3.0</v>
      </c>
      <c r="BY62" s="21">
        <f>IFERROR(BX62/BW62,"")</f>
        <v>0.6</v>
      </c>
      <c r="BZ62" s="24">
        <v>2.3333333333333335</v>
      </c>
      <c r="CA62" s="21">
        <v>0.0</v>
      </c>
      <c r="CB62" s="24"/>
      <c r="CC62" s="21">
        <v>0.0</v>
      </c>
      <c r="CD62" s="21">
        <v>0.0</v>
      </c>
      <c r="CE62" s="21">
        <v>0.8</v>
      </c>
      <c r="CF62" s="24"/>
      <c r="CG62" s="21"/>
    </row>
    <row r="63" spans="1:85" s="14" customFormat="1" ht="18.6" customHeight="1">
      <c r="A63" s="14"/>
      <c r="B63" s="20"/>
      <c r="C63" s="20" t="s">
        <v>131</v>
      </c>
      <c r="D63" s="21"/>
      <c r="E63" s="21">
        <f>IFERROR(H63/G63,"")</f>
        <v>0.06713780918727916</v>
      </c>
      <c r="F63" s="21">
        <f>IFERROR(I63/G63,"")</f>
        <v>0.0</v>
      </c>
      <c r="G63" s="20">
        <v>283.0</v>
      </c>
      <c r="H63" s="22">
        <v>19.0</v>
      </c>
      <c r="I63" s="22">
        <v>0.0</v>
      </c>
      <c r="J63" s="22">
        <v>7.0</v>
      </c>
      <c r="K63" s="34">
        <f>J63/H63</f>
        <v>0.3684210526315789</v>
      </c>
      <c r="L63" s="30">
        <f>IF(E63-D63&lt;0,0,CEILING((E63-D63)*G63,1))</f>
        <v>19.0</v>
      </c>
      <c r="M63" s="23">
        <v>2.0</v>
      </c>
      <c r="N63" s="23">
        <v>0.0</v>
      </c>
      <c r="O63" s="22"/>
      <c r="P63" s="22"/>
      <c r="Q63" s="22"/>
      <c r="R63" s="21"/>
      <c r="S63" s="23"/>
      <c r="T63" s="31"/>
      <c r="U63" s="22">
        <v>8.0</v>
      </c>
      <c r="V63" s="22">
        <v>0.0</v>
      </c>
      <c r="W63" s="22">
        <v>0.0</v>
      </c>
      <c r="X63" s="22">
        <v>3.0</v>
      </c>
      <c r="Y63" s="34">
        <v>0.375</v>
      </c>
      <c r="Z63" s="20">
        <v>5.0</v>
      </c>
      <c r="AA63" s="21">
        <f>IFERROR(Z63/U63,"")</f>
        <v>0.625</v>
      </c>
      <c r="AB63" s="24">
        <v>1.2</v>
      </c>
      <c r="AC63" s="21">
        <v>0.0</v>
      </c>
      <c r="AD63" s="24"/>
      <c r="AE63" s="21">
        <v>0.0</v>
      </c>
      <c r="AF63" s="21">
        <v>0.0</v>
      </c>
      <c r="AG63" s="21">
        <v>0.875</v>
      </c>
      <c r="AH63" s="24"/>
      <c r="AI63" s="21"/>
      <c r="AJ63" s="20">
        <v>8.0</v>
      </c>
      <c r="AK63" s="21">
        <f>IFERROR(AJ63/U63,"")</f>
        <v>1.0</v>
      </c>
      <c r="AL63" s="20">
        <v>3.0</v>
      </c>
      <c r="AM63" s="21">
        <v>0.375</v>
      </c>
      <c r="AN63" s="20">
        <v>5.0</v>
      </c>
      <c r="AO63" s="21">
        <f>IFERROR(AN63/AJ63,"")</f>
        <v>0.625</v>
      </c>
      <c r="AP63" s="24">
        <v>1.2</v>
      </c>
      <c r="AQ63" s="21">
        <v>0.0</v>
      </c>
      <c r="AR63" s="24"/>
      <c r="AS63" s="21">
        <v>0.0</v>
      </c>
      <c r="AT63" s="21">
        <v>0.0</v>
      </c>
      <c r="AU63" s="21">
        <v>0.875</v>
      </c>
      <c r="AV63" s="24"/>
      <c r="AW63" s="21"/>
      <c r="AX63" s="20">
        <v>0.0</v>
      </c>
      <c r="AY63" s="21">
        <f>IFERROR(AX63/U63,"")</f>
        <v>0.0</v>
      </c>
      <c r="AZ63" s="20"/>
      <c r="BA63" s="21"/>
      <c r="BB63" s="20">
        <v>0.0</v>
      </c>
      <c r="BC63" s="21" t="str">
        <f>IFERROR(BB63/AX63,"")</f>
        <v/>
      </c>
      <c r="BD63" s="24"/>
      <c r="BE63" s="21"/>
      <c r="BF63" s="24"/>
      <c r="BG63" s="21"/>
      <c r="BH63" s="21"/>
      <c r="BI63" s="21"/>
      <c r="BJ63" s="24"/>
      <c r="BK63" s="21"/>
      <c r="BL63" s="22">
        <v>0.0</v>
      </c>
      <c r="BM63" s="20">
        <v>0.0</v>
      </c>
      <c r="BN63" s="21" t="str">
        <f>IFERROR(BM63/BL63,"")</f>
        <v/>
      </c>
      <c r="BO63" s="24"/>
      <c r="BP63" s="21"/>
      <c r="BQ63" s="24"/>
      <c r="BR63" s="21"/>
      <c r="BS63" s="21"/>
      <c r="BT63" s="21"/>
      <c r="BU63" s="24"/>
      <c r="BV63" s="21"/>
      <c r="BW63" s="22">
        <v>6.0</v>
      </c>
      <c r="BX63" s="20">
        <v>3.0</v>
      </c>
      <c r="BY63" s="21">
        <f>IFERROR(BX63/BW63,"")</f>
        <v>0.5</v>
      </c>
      <c r="BZ63" s="24">
        <v>1.0</v>
      </c>
      <c r="CA63" s="21">
        <v>0.0</v>
      </c>
      <c r="CB63" s="24"/>
      <c r="CC63" s="21">
        <v>0.0</v>
      </c>
      <c r="CD63" s="21">
        <v>0.0</v>
      </c>
      <c r="CE63" s="21">
        <v>0.8333333333333334</v>
      </c>
      <c r="CF63" s="24"/>
      <c r="CG63" s="21"/>
    </row>
    <row r="64" spans="1:85" s="14" customFormat="1" ht="18.6" customHeight="1">
      <c r="A64" s="14"/>
      <c r="B64" s="20" t="s">
        <v>89</v>
      </c>
      <c r="C64" s="20" t="s">
        <v>132</v>
      </c>
      <c r="D64" s="21"/>
      <c r="E64" s="21">
        <f>IFERROR(H64/G64,"")</f>
        <v>0.19298245614035087</v>
      </c>
      <c r="F64" s="21">
        <f>IFERROR(I64/G64,"")</f>
        <v>0.0</v>
      </c>
      <c r="G64" s="20">
        <v>171.0</v>
      </c>
      <c r="H64" s="22">
        <v>33.0</v>
      </c>
      <c r="I64" s="22">
        <v>0.0</v>
      </c>
      <c r="J64" s="22">
        <v>5.0</v>
      </c>
      <c r="K64" s="34">
        <f>J64/H64</f>
        <v>0.15151515151515152</v>
      </c>
      <c r="L64" s="30">
        <f>IF(E64-D64&lt;0,0,CEILING((E64-D64)*G64,1))</f>
        <v>33.0</v>
      </c>
      <c r="M64" s="23">
        <v>2.0</v>
      </c>
      <c r="N64" s="23">
        <v>0.0</v>
      </c>
      <c r="O64" s="22"/>
      <c r="P64" s="22"/>
      <c r="Q64" s="22"/>
      <c r="R64" s="21"/>
      <c r="S64" s="23"/>
      <c r="T64" s="31"/>
      <c r="U64" s="22">
        <v>3.0</v>
      </c>
      <c r="V64" s="22">
        <v>0.0</v>
      </c>
      <c r="W64" s="22">
        <v>0.0</v>
      </c>
      <c r="X64" s="22">
        <v>0.0</v>
      </c>
      <c r="Y64" s="34">
        <v>0.0</v>
      </c>
      <c r="Z64" s="20">
        <v>3.0</v>
      </c>
      <c r="AA64" s="21">
        <f>IFERROR(Z64/U64,"")</f>
        <v>1.0</v>
      </c>
      <c r="AB64" s="24">
        <v>2.0</v>
      </c>
      <c r="AC64" s="21">
        <v>0.0</v>
      </c>
      <c r="AD64" s="24"/>
      <c r="AE64" s="21">
        <v>0.0</v>
      </c>
      <c r="AF64" s="21">
        <v>0.0</v>
      </c>
      <c r="AG64" s="21">
        <v>1.0</v>
      </c>
      <c r="AH64" s="24"/>
      <c r="AI64" s="21"/>
      <c r="AJ64" s="20">
        <v>3.0</v>
      </c>
      <c r="AK64" s="21">
        <f>IFERROR(AJ64/U64,"")</f>
        <v>1.0</v>
      </c>
      <c r="AL64" s="20">
        <v>0.0</v>
      </c>
      <c r="AM64" s="21">
        <v>0.0</v>
      </c>
      <c r="AN64" s="20">
        <v>3.0</v>
      </c>
      <c r="AO64" s="21">
        <f>IFERROR(AN64/AJ64,"")</f>
        <v>1.0</v>
      </c>
      <c r="AP64" s="24">
        <v>2.0</v>
      </c>
      <c r="AQ64" s="21">
        <v>0.0</v>
      </c>
      <c r="AR64" s="24"/>
      <c r="AS64" s="21">
        <v>0.0</v>
      </c>
      <c r="AT64" s="21">
        <v>0.0</v>
      </c>
      <c r="AU64" s="21">
        <v>1.0</v>
      </c>
      <c r="AV64" s="24"/>
      <c r="AW64" s="21"/>
      <c r="AX64" s="20">
        <v>0.0</v>
      </c>
      <c r="AY64" s="21">
        <f>IFERROR(AX64/U64,"")</f>
        <v>0.0</v>
      </c>
      <c r="AZ64" s="20"/>
      <c r="BA64" s="21"/>
      <c r="BB64" s="20">
        <v>0.0</v>
      </c>
      <c r="BC64" s="21" t="str">
        <f>IFERROR(BB64/AX64,"")</f>
        <v/>
      </c>
      <c r="BD64" s="24"/>
      <c r="BE64" s="21"/>
      <c r="BF64" s="24"/>
      <c r="BG64" s="21"/>
      <c r="BH64" s="21"/>
      <c r="BI64" s="21"/>
      <c r="BJ64" s="24"/>
      <c r="BK64" s="21"/>
      <c r="BL64" s="22">
        <v>2.0</v>
      </c>
      <c r="BM64" s="20">
        <v>0.0</v>
      </c>
      <c r="BN64" s="21">
        <f>IFERROR(BM64/BL64,"")</f>
        <v>0.0</v>
      </c>
      <c r="BO64" s="24"/>
      <c r="BP64" s="21"/>
      <c r="BQ64" s="24"/>
      <c r="BR64" s="21">
        <v>0.0</v>
      </c>
      <c r="BS64" s="21">
        <v>0.0</v>
      </c>
      <c r="BT64" s="21">
        <v>0.5</v>
      </c>
      <c r="BU64" s="24"/>
      <c r="BV64" s="21"/>
      <c r="BW64" s="22">
        <v>12.0</v>
      </c>
      <c r="BX64" s="20">
        <v>7.0</v>
      </c>
      <c r="BY64" s="21">
        <f>IFERROR(BX64/BW64,"")</f>
        <v>0.5833333333333334</v>
      </c>
      <c r="BZ64" s="24">
        <v>1.0</v>
      </c>
      <c r="CA64" s="21">
        <v>0.2857142857142857</v>
      </c>
      <c r="CB64" s="24">
        <v>3.916666666666667</v>
      </c>
      <c r="CC64" s="21">
        <v>0.0</v>
      </c>
      <c r="CD64" s="21">
        <v>0.0</v>
      </c>
      <c r="CE64" s="21">
        <v>0.8333333333333334</v>
      </c>
      <c r="CF64" s="24"/>
      <c r="CG64" s="21"/>
    </row>
    <row r="65" spans="1:85" s="14" customFormat="1" ht="18.6" customHeight="1">
      <c r="A65" s="14"/>
      <c r="B65" s="20"/>
      <c r="C65" s="20" t="s">
        <v>133</v>
      </c>
      <c r="D65" s="21"/>
      <c r="E65" s="21">
        <f>IFERROR(H65/G65,"")</f>
        <v>0.08333333333333333</v>
      </c>
      <c r="F65" s="21">
        <f>IFERROR(I65/G65,"")</f>
        <v>0.0</v>
      </c>
      <c r="G65" s="20">
        <v>324.0</v>
      </c>
      <c r="H65" s="22">
        <v>27.0</v>
      </c>
      <c r="I65" s="22">
        <v>0.0</v>
      </c>
      <c r="J65" s="22">
        <v>5.0</v>
      </c>
      <c r="K65" s="34">
        <f>J65/H65</f>
        <v>0.18518518518518517</v>
      </c>
      <c r="L65" s="30">
        <f>IF(E65-D65&lt;0,0,CEILING((E65-D65)*G65,1))</f>
        <v>27.0</v>
      </c>
      <c r="M65" s="23">
        <v>0.0</v>
      </c>
      <c r="N65" s="23">
        <v>0.0</v>
      </c>
      <c r="O65" s="22"/>
      <c r="P65" s="22"/>
      <c r="Q65" s="22"/>
      <c r="R65" s="21"/>
      <c r="S65" s="23"/>
      <c r="T65" s="31"/>
      <c r="U65" s="22">
        <v>6.0</v>
      </c>
      <c r="V65" s="22">
        <v>0.0</v>
      </c>
      <c r="W65" s="22">
        <v>0.0</v>
      </c>
      <c r="X65" s="22">
        <v>0.0</v>
      </c>
      <c r="Y65" s="34">
        <v>0.0</v>
      </c>
      <c r="Z65" s="20">
        <v>6.0</v>
      </c>
      <c r="AA65" s="21">
        <f>IFERROR(Z65/U65,"")</f>
        <v>1.0</v>
      </c>
      <c r="AB65" s="24">
        <v>1.1666666666666667</v>
      </c>
      <c r="AC65" s="21">
        <v>0.0</v>
      </c>
      <c r="AD65" s="24"/>
      <c r="AE65" s="21">
        <v>0.0</v>
      </c>
      <c r="AF65" s="21">
        <v>0.0</v>
      </c>
      <c r="AG65" s="21">
        <v>1.0</v>
      </c>
      <c r="AH65" s="24"/>
      <c r="AI65" s="21"/>
      <c r="AJ65" s="20">
        <v>5.0</v>
      </c>
      <c r="AK65" s="21">
        <f>IFERROR(AJ65/U65,"")</f>
        <v>0.8333333333333334</v>
      </c>
      <c r="AL65" s="20">
        <v>0.0</v>
      </c>
      <c r="AM65" s="21">
        <v>0.0</v>
      </c>
      <c r="AN65" s="20">
        <v>5.0</v>
      </c>
      <c r="AO65" s="21">
        <f>IFERROR(AN65/AJ65,"")</f>
        <v>1.0</v>
      </c>
      <c r="AP65" s="24">
        <v>1.2</v>
      </c>
      <c r="AQ65" s="21">
        <v>0.0</v>
      </c>
      <c r="AR65" s="24"/>
      <c r="AS65" s="21">
        <v>0.0</v>
      </c>
      <c r="AT65" s="21">
        <v>0.0</v>
      </c>
      <c r="AU65" s="21">
        <v>1.0</v>
      </c>
      <c r="AV65" s="24"/>
      <c r="AW65" s="21"/>
      <c r="AX65" s="20">
        <v>1.0</v>
      </c>
      <c r="AY65" s="21">
        <f>IFERROR(AX65/U65,"")</f>
        <v>0.16666666666666666</v>
      </c>
      <c r="AZ65" s="20">
        <v>0.0</v>
      </c>
      <c r="BA65" s="21">
        <v>0.0</v>
      </c>
      <c r="BB65" s="20">
        <v>1.0</v>
      </c>
      <c r="BC65" s="21">
        <f>IFERROR(BB65/AX65,"")</f>
        <v>1.0</v>
      </c>
      <c r="BD65" s="24">
        <v>1.0</v>
      </c>
      <c r="BE65" s="21">
        <v>0.0</v>
      </c>
      <c r="BF65" s="24"/>
      <c r="BG65" s="21">
        <v>0.0</v>
      </c>
      <c r="BH65" s="21">
        <v>0.0</v>
      </c>
      <c r="BI65" s="21">
        <v>1.0</v>
      </c>
      <c r="BJ65" s="24"/>
      <c r="BK65" s="21"/>
      <c r="BL65" s="22">
        <v>2.0</v>
      </c>
      <c r="BM65" s="20">
        <v>1.0</v>
      </c>
      <c r="BN65" s="21">
        <f>IFERROR(BM65/BL65,"")</f>
        <v>0.5</v>
      </c>
      <c r="BO65" s="24">
        <v>1.0</v>
      </c>
      <c r="BP65" s="21">
        <v>0.0</v>
      </c>
      <c r="BQ65" s="24"/>
      <c r="BR65" s="21">
        <v>0.0</v>
      </c>
      <c r="BS65" s="21">
        <v>0.0</v>
      </c>
      <c r="BT65" s="21">
        <v>0.5</v>
      </c>
      <c r="BU65" s="24"/>
      <c r="BV65" s="21"/>
      <c r="BW65" s="22">
        <v>23.0</v>
      </c>
      <c r="BX65" s="20">
        <v>9.0</v>
      </c>
      <c r="BY65" s="21">
        <f>IFERROR(BX65/BW65,"")</f>
        <v>0.391304347826087</v>
      </c>
      <c r="BZ65" s="24">
        <v>1.4444444444444444</v>
      </c>
      <c r="CA65" s="21">
        <v>0.3076923076923077</v>
      </c>
      <c r="CB65" s="24">
        <v>5.145833333333332</v>
      </c>
      <c r="CC65" s="21">
        <v>0.0</v>
      </c>
      <c r="CD65" s="21">
        <v>0.0</v>
      </c>
      <c r="CE65" s="21">
        <v>0.8260869565217391</v>
      </c>
      <c r="CF65" s="24"/>
      <c r="CG65" s="21"/>
    </row>
    <row r="66" spans="1:85" s="14" customFormat="1" ht="18.6" customHeight="1">
      <c r="A66" s="14"/>
      <c r="B66" s="20"/>
      <c r="C66" s="20" t="s">
        <v>134</v>
      </c>
      <c r="D66" s="21"/>
      <c r="E66" s="21">
        <f>IFERROR(H66/G66,"")</f>
        <v>0.09014084507042254</v>
      </c>
      <c r="F66" s="21">
        <f>IFERROR(I66/G66,"")</f>
        <v>0.0028169014084507044</v>
      </c>
      <c r="G66" s="20">
        <v>355.0</v>
      </c>
      <c r="H66" s="22">
        <v>32.0</v>
      </c>
      <c r="I66" s="22">
        <v>1.0</v>
      </c>
      <c r="J66" s="22">
        <v>6.0</v>
      </c>
      <c r="K66" s="34">
        <f>J66/H66</f>
        <v>0.1875</v>
      </c>
      <c r="L66" s="30">
        <f>IF(E66-D66&lt;0,0,CEILING((E66-D66)*G66,1))</f>
        <v>32.0</v>
      </c>
      <c r="M66" s="23">
        <v>3.0</v>
      </c>
      <c r="N66" s="23">
        <v>0.0</v>
      </c>
      <c r="O66" s="22"/>
      <c r="P66" s="22"/>
      <c r="Q66" s="22"/>
      <c r="R66" s="21"/>
      <c r="S66" s="23"/>
      <c r="T66" s="31"/>
      <c r="U66" s="22">
        <v>12.0</v>
      </c>
      <c r="V66" s="22">
        <v>0.0</v>
      </c>
      <c r="W66" s="22">
        <v>0.0</v>
      </c>
      <c r="X66" s="22">
        <v>2.0</v>
      </c>
      <c r="Y66" s="34">
        <v>0.16666666666666666</v>
      </c>
      <c r="Z66" s="20">
        <v>8.0</v>
      </c>
      <c r="AA66" s="21">
        <f>IFERROR(Z66/U66,"")</f>
        <v>0.6666666666666666</v>
      </c>
      <c r="AB66" s="24">
        <v>1.0</v>
      </c>
      <c r="AC66" s="21">
        <v>0.0</v>
      </c>
      <c r="AD66" s="24"/>
      <c r="AE66" s="21">
        <v>0.0</v>
      </c>
      <c r="AF66" s="21">
        <v>0.0</v>
      </c>
      <c r="AG66" s="21">
        <v>0.75</v>
      </c>
      <c r="AH66" s="24"/>
      <c r="AI66" s="21"/>
      <c r="AJ66" s="20">
        <v>10.0</v>
      </c>
      <c r="AK66" s="21">
        <f>IFERROR(AJ66/U66,"")</f>
        <v>0.8333333333333334</v>
      </c>
      <c r="AL66" s="20">
        <v>2.0</v>
      </c>
      <c r="AM66" s="21">
        <v>0.2</v>
      </c>
      <c r="AN66" s="20">
        <v>7.0</v>
      </c>
      <c r="AO66" s="21">
        <f>IFERROR(AN66/AJ66,"")</f>
        <v>0.7</v>
      </c>
      <c r="AP66" s="24">
        <v>1.0</v>
      </c>
      <c r="AQ66" s="21">
        <v>0.0</v>
      </c>
      <c r="AR66" s="24"/>
      <c r="AS66" s="21">
        <v>0.0</v>
      </c>
      <c r="AT66" s="21">
        <v>0.0</v>
      </c>
      <c r="AU66" s="21">
        <v>0.8</v>
      </c>
      <c r="AV66" s="24"/>
      <c r="AW66" s="21"/>
      <c r="AX66" s="20">
        <v>2.0</v>
      </c>
      <c r="AY66" s="21">
        <f>IFERROR(AX66/U66,"")</f>
        <v>0.16666666666666666</v>
      </c>
      <c r="AZ66" s="20">
        <v>0.0</v>
      </c>
      <c r="BA66" s="21">
        <v>0.0</v>
      </c>
      <c r="BB66" s="20">
        <v>1.0</v>
      </c>
      <c r="BC66" s="21">
        <f>IFERROR(BB66/AX66,"")</f>
        <v>0.5</v>
      </c>
      <c r="BD66" s="24">
        <v>1.0</v>
      </c>
      <c r="BE66" s="21">
        <v>0.0</v>
      </c>
      <c r="BF66" s="24"/>
      <c r="BG66" s="21">
        <v>0.0</v>
      </c>
      <c r="BH66" s="21">
        <v>0.0</v>
      </c>
      <c r="BI66" s="21">
        <v>0.5</v>
      </c>
      <c r="BJ66" s="24"/>
      <c r="BK66" s="21"/>
      <c r="BL66" s="22">
        <v>4.0</v>
      </c>
      <c r="BM66" s="20">
        <v>2.0</v>
      </c>
      <c r="BN66" s="21">
        <f>IFERROR(BM66/BL66,"")</f>
        <v>0.5</v>
      </c>
      <c r="BO66" s="24">
        <v>1.5</v>
      </c>
      <c r="BP66" s="21">
        <v>0.0</v>
      </c>
      <c r="BQ66" s="24"/>
      <c r="BR66" s="21">
        <v>0.0</v>
      </c>
      <c r="BS66" s="21">
        <v>0.0</v>
      </c>
      <c r="BT66" s="21">
        <v>0.75</v>
      </c>
      <c r="BU66" s="24"/>
      <c r="BV66" s="21"/>
      <c r="BW66" s="22">
        <v>22.0</v>
      </c>
      <c r="BX66" s="20">
        <v>3.0</v>
      </c>
      <c r="BY66" s="21">
        <f>IFERROR(BX66/BW66,"")</f>
        <v>0.13636363636363635</v>
      </c>
      <c r="BZ66" s="24">
        <v>1.0</v>
      </c>
      <c r="CA66" s="21">
        <v>0.0</v>
      </c>
      <c r="CB66" s="24"/>
      <c r="CC66" s="21">
        <v>0.0</v>
      </c>
      <c r="CD66" s="21">
        <v>0.0</v>
      </c>
      <c r="CE66" s="21">
        <v>0.6818181818181818</v>
      </c>
      <c r="CF66" s="24"/>
      <c r="CG66" s="21"/>
    </row>
    <row r="67" spans="1:85" s="14" customFormat="1" ht="18.6" customHeight="1">
      <c r="A67" s="14"/>
      <c r="B67" s="20"/>
      <c r="C67" s="20" t="s">
        <v>135</v>
      </c>
      <c r="D67" s="21"/>
      <c r="E67" s="21">
        <f>IFERROR(H67/G67,"")</f>
        <v>0.09841269841269841</v>
      </c>
      <c r="F67" s="21">
        <f>IFERROR(I67/G67,"")</f>
        <v>0.0031746031746031746</v>
      </c>
      <c r="G67" s="20">
        <v>315.0</v>
      </c>
      <c r="H67" s="22">
        <v>31.0</v>
      </c>
      <c r="I67" s="22">
        <v>1.0</v>
      </c>
      <c r="J67" s="22">
        <v>3.0</v>
      </c>
      <c r="K67" s="34">
        <f>J67/H67</f>
        <v>0.0967741935483871</v>
      </c>
      <c r="L67" s="30">
        <f>IF(E67-D67&lt;0,0,CEILING((E67-D67)*G67,1))</f>
        <v>31.0</v>
      </c>
      <c r="M67" s="23">
        <v>1.0</v>
      </c>
      <c r="N67" s="23">
        <v>0.0</v>
      </c>
      <c r="O67" s="22"/>
      <c r="P67" s="22"/>
      <c r="Q67" s="22"/>
      <c r="R67" s="21"/>
      <c r="S67" s="23"/>
      <c r="T67" s="31"/>
      <c r="U67" s="22">
        <v>8.0</v>
      </c>
      <c r="V67" s="22">
        <v>0.0</v>
      </c>
      <c r="W67" s="22">
        <v>0.0</v>
      </c>
      <c r="X67" s="22">
        <v>0.0</v>
      </c>
      <c r="Y67" s="34">
        <v>0.0</v>
      </c>
      <c r="Z67" s="20">
        <v>7.0</v>
      </c>
      <c r="AA67" s="21">
        <f>IFERROR(Z67/U67,"")</f>
        <v>0.875</v>
      </c>
      <c r="AB67" s="24">
        <v>1.8571428571428572</v>
      </c>
      <c r="AC67" s="21">
        <v>0.0</v>
      </c>
      <c r="AD67" s="24"/>
      <c r="AE67" s="21">
        <v>0.0</v>
      </c>
      <c r="AF67" s="21">
        <v>0.0</v>
      </c>
      <c r="AG67" s="21">
        <v>0.875</v>
      </c>
      <c r="AH67" s="24"/>
      <c r="AI67" s="21"/>
      <c r="AJ67" s="20">
        <v>6.0</v>
      </c>
      <c r="AK67" s="21">
        <f>IFERROR(AJ67/U67,"")</f>
        <v>0.75</v>
      </c>
      <c r="AL67" s="20">
        <v>0.0</v>
      </c>
      <c r="AM67" s="21">
        <v>0.0</v>
      </c>
      <c r="AN67" s="20">
        <v>5.0</v>
      </c>
      <c r="AO67" s="21">
        <f>IFERROR(AN67/AJ67,"")</f>
        <v>0.8333333333333334</v>
      </c>
      <c r="AP67" s="24">
        <v>2.0</v>
      </c>
      <c r="AQ67" s="21">
        <v>0.0</v>
      </c>
      <c r="AR67" s="24"/>
      <c r="AS67" s="21">
        <v>0.0</v>
      </c>
      <c r="AT67" s="21">
        <v>0.0</v>
      </c>
      <c r="AU67" s="21">
        <v>0.8333333333333334</v>
      </c>
      <c r="AV67" s="24"/>
      <c r="AW67" s="21"/>
      <c r="AX67" s="20">
        <v>2.0</v>
      </c>
      <c r="AY67" s="21">
        <f>IFERROR(AX67/U67,"")</f>
        <v>0.25</v>
      </c>
      <c r="AZ67" s="20">
        <v>0.0</v>
      </c>
      <c r="BA67" s="21">
        <v>0.0</v>
      </c>
      <c r="BB67" s="20">
        <v>2.0</v>
      </c>
      <c r="BC67" s="21">
        <f>IFERROR(BB67/AX67,"")</f>
        <v>1.0</v>
      </c>
      <c r="BD67" s="24">
        <v>1.5</v>
      </c>
      <c r="BE67" s="21">
        <v>0.0</v>
      </c>
      <c r="BF67" s="24"/>
      <c r="BG67" s="21">
        <v>0.0</v>
      </c>
      <c r="BH67" s="21">
        <v>0.0</v>
      </c>
      <c r="BI67" s="21">
        <v>1.0</v>
      </c>
      <c r="BJ67" s="24"/>
      <c r="BK67" s="21"/>
      <c r="BL67" s="22">
        <v>1.0</v>
      </c>
      <c r="BM67" s="20">
        <v>1.0</v>
      </c>
      <c r="BN67" s="21">
        <f>IFERROR(BM67/BL67,"")</f>
        <v>1.0</v>
      </c>
      <c r="BO67" s="24">
        <v>1.0</v>
      </c>
      <c r="BP67" s="21">
        <v>0.0</v>
      </c>
      <c r="BQ67" s="24"/>
      <c r="BR67" s="21">
        <v>0.0</v>
      </c>
      <c r="BS67" s="21">
        <v>0.0</v>
      </c>
      <c r="BT67" s="21">
        <v>1.0</v>
      </c>
      <c r="BU67" s="24"/>
      <c r="BV67" s="21"/>
      <c r="BW67" s="22">
        <v>16.0</v>
      </c>
      <c r="BX67" s="20">
        <v>7.0</v>
      </c>
      <c r="BY67" s="21">
        <f>IFERROR(BX67/BW67,"")</f>
        <v>0.4375</v>
      </c>
      <c r="BZ67" s="24">
        <v>1.1428571428571428</v>
      </c>
      <c r="CA67" s="21">
        <v>0.125</v>
      </c>
      <c r="CB67" s="24">
        <v>4.266666666666667</v>
      </c>
      <c r="CC67" s="21">
        <v>0.0</v>
      </c>
      <c r="CD67" s="21">
        <v>0.0</v>
      </c>
      <c r="CE67" s="21">
        <v>0.9375</v>
      </c>
      <c r="CF67" s="24"/>
      <c r="CG67" s="21"/>
    </row>
    <row r="68" spans="1:85" s="14" customFormat="1" ht="18.6" customHeight="1">
      <c r="A68" s="14"/>
      <c r="B68" s="20"/>
      <c r="C68" s="20" t="s">
        <v>136</v>
      </c>
      <c r="D68" s="21"/>
      <c r="E68" s="21">
        <f>IFERROR(H68/G68,"")</f>
        <v>0.07241379310344828</v>
      </c>
      <c r="F68" s="21">
        <f>IFERROR(I68/G68,"")</f>
        <v>0.0</v>
      </c>
      <c r="G68" s="20">
        <v>290.0</v>
      </c>
      <c r="H68" s="22">
        <v>21.0</v>
      </c>
      <c r="I68" s="22">
        <v>0.0</v>
      </c>
      <c r="J68" s="22">
        <v>2.0</v>
      </c>
      <c r="K68" s="34">
        <f>J68/H68</f>
        <v>0.09523809523809523</v>
      </c>
      <c r="L68" s="30">
        <f>IF(E68-D68&lt;0,0,CEILING((E68-D68)*G68,1))</f>
        <v>21.0</v>
      </c>
      <c r="M68" s="23">
        <v>1.0</v>
      </c>
      <c r="N68" s="23">
        <v>0.0</v>
      </c>
      <c r="O68" s="22"/>
      <c r="P68" s="22"/>
      <c r="Q68" s="22"/>
      <c r="R68" s="21"/>
      <c r="S68" s="23"/>
      <c r="T68" s="31"/>
      <c r="U68" s="22">
        <v>7.0</v>
      </c>
      <c r="V68" s="22">
        <v>0.0</v>
      </c>
      <c r="W68" s="22">
        <v>0.0</v>
      </c>
      <c r="X68" s="22">
        <v>0.0</v>
      </c>
      <c r="Y68" s="34">
        <v>0.0</v>
      </c>
      <c r="Z68" s="20">
        <v>7.0</v>
      </c>
      <c r="AA68" s="21">
        <f>IFERROR(Z68/U68,"")</f>
        <v>1.0</v>
      </c>
      <c r="AB68" s="24">
        <v>2.857142857142857</v>
      </c>
      <c r="AC68" s="21">
        <v>0.05</v>
      </c>
      <c r="AD68" s="24">
        <v>6.2</v>
      </c>
      <c r="AE68" s="21">
        <v>0.0</v>
      </c>
      <c r="AF68" s="21">
        <v>0.0</v>
      </c>
      <c r="AG68" s="21">
        <v>1.0</v>
      </c>
      <c r="AH68" s="24"/>
      <c r="AI68" s="21"/>
      <c r="AJ68" s="20">
        <v>4.0</v>
      </c>
      <c r="AK68" s="21">
        <f>IFERROR(AJ68/U68,"")</f>
        <v>0.5714285714285714</v>
      </c>
      <c r="AL68" s="20">
        <v>0.0</v>
      </c>
      <c r="AM68" s="21">
        <v>0.0</v>
      </c>
      <c r="AN68" s="20">
        <v>4.0</v>
      </c>
      <c r="AO68" s="21">
        <f>IFERROR(AN68/AJ68,"")</f>
        <v>1.0</v>
      </c>
      <c r="AP68" s="24">
        <v>2.75</v>
      </c>
      <c r="AQ68" s="21">
        <v>0.0</v>
      </c>
      <c r="AR68" s="24"/>
      <c r="AS68" s="21">
        <v>0.0</v>
      </c>
      <c r="AT68" s="21">
        <v>0.0</v>
      </c>
      <c r="AU68" s="21">
        <v>1.0</v>
      </c>
      <c r="AV68" s="24"/>
      <c r="AW68" s="21"/>
      <c r="AX68" s="20">
        <v>3.0</v>
      </c>
      <c r="AY68" s="21">
        <f>IFERROR(AX68/U68,"")</f>
        <v>0.42857142857142855</v>
      </c>
      <c r="AZ68" s="20">
        <v>0.0</v>
      </c>
      <c r="BA68" s="21">
        <v>0.0</v>
      </c>
      <c r="BB68" s="20">
        <v>3.0</v>
      </c>
      <c r="BC68" s="21">
        <f>IFERROR(BB68/AX68,"")</f>
        <v>1.0</v>
      </c>
      <c r="BD68" s="24">
        <v>3.0</v>
      </c>
      <c r="BE68" s="21">
        <v>0.1111111111111111</v>
      </c>
      <c r="BF68" s="24">
        <v>6.2</v>
      </c>
      <c r="BG68" s="21">
        <v>0.0</v>
      </c>
      <c r="BH68" s="21">
        <v>0.0</v>
      </c>
      <c r="BI68" s="21">
        <v>1.0</v>
      </c>
      <c r="BJ68" s="24"/>
      <c r="BK68" s="21"/>
      <c r="BL68" s="22">
        <v>1.0</v>
      </c>
      <c r="BM68" s="20">
        <v>0.0</v>
      </c>
      <c r="BN68" s="21">
        <f>IFERROR(BM68/BL68,"")</f>
        <v>0.0</v>
      </c>
      <c r="BO68" s="24"/>
      <c r="BP68" s="21"/>
      <c r="BQ68" s="24"/>
      <c r="BR68" s="21">
        <v>0.0</v>
      </c>
      <c r="BS68" s="21">
        <v>0.0</v>
      </c>
      <c r="BT68" s="21">
        <v>1.0</v>
      </c>
      <c r="BU68" s="24"/>
      <c r="BV68" s="21"/>
      <c r="BW68" s="22">
        <v>7.0</v>
      </c>
      <c r="BX68" s="20">
        <v>4.0</v>
      </c>
      <c r="BY68" s="21">
        <f>IFERROR(BX68/BW68,"")</f>
        <v>0.5714285714285714</v>
      </c>
      <c r="BZ68" s="24">
        <v>1.75</v>
      </c>
      <c r="CA68" s="21">
        <v>0.14285714285714285</v>
      </c>
      <c r="CB68" s="24">
        <v>3.816666666666667</v>
      </c>
      <c r="CC68" s="21">
        <v>0.0</v>
      </c>
      <c r="CD68" s="21">
        <v>0.0</v>
      </c>
      <c r="CE68" s="21">
        <v>1.0</v>
      </c>
      <c r="CF68" s="24"/>
      <c r="CG68" s="21"/>
    </row>
    <row r="69" spans="1:85" s="14" customFormat="1" ht="18.6" customHeight="1">
      <c r="A69" s="14"/>
      <c r="B69" s="20"/>
      <c r="C69" s="20" t="s">
        <v>137</v>
      </c>
      <c r="D69" s="21"/>
      <c r="E69" s="21">
        <f>IFERROR(H69/G69,"")</f>
        <v>0.07534246575342465</v>
      </c>
      <c r="F69" s="21">
        <f>IFERROR(I69/G69,"")</f>
        <v>0.0</v>
      </c>
      <c r="G69" s="20">
        <v>292.0</v>
      </c>
      <c r="H69" s="22">
        <v>22.0</v>
      </c>
      <c r="I69" s="22">
        <v>0.0</v>
      </c>
      <c r="J69" s="22">
        <v>3.0</v>
      </c>
      <c r="K69" s="34">
        <f>J69/H69</f>
        <v>0.13636363636363635</v>
      </c>
      <c r="L69" s="30">
        <f>IF(E69-D69&lt;0,0,CEILING((E69-D69)*G69,1))</f>
        <v>22.0</v>
      </c>
      <c r="M69" s="23">
        <v>2.0</v>
      </c>
      <c r="N69" s="23">
        <v>0.0</v>
      </c>
      <c r="O69" s="22"/>
      <c r="P69" s="22"/>
      <c r="Q69" s="22"/>
      <c r="R69" s="21"/>
      <c r="S69" s="23"/>
      <c r="T69" s="31"/>
      <c r="U69" s="22">
        <v>6.0</v>
      </c>
      <c r="V69" s="22">
        <v>0.0</v>
      </c>
      <c r="W69" s="22">
        <v>0.0</v>
      </c>
      <c r="X69" s="22">
        <v>0.0</v>
      </c>
      <c r="Y69" s="34">
        <v>0.0</v>
      </c>
      <c r="Z69" s="20">
        <v>6.0</v>
      </c>
      <c r="AA69" s="21">
        <f>IFERROR(Z69/U69,"")</f>
        <v>1.0</v>
      </c>
      <c r="AB69" s="24">
        <v>2.0</v>
      </c>
      <c r="AC69" s="21">
        <v>0.0</v>
      </c>
      <c r="AD69" s="24"/>
      <c r="AE69" s="21">
        <v>0.0</v>
      </c>
      <c r="AF69" s="21">
        <v>0.0</v>
      </c>
      <c r="AG69" s="21">
        <v>0.8333333333333334</v>
      </c>
      <c r="AH69" s="24"/>
      <c r="AI69" s="21"/>
      <c r="AJ69" s="20">
        <v>5.0</v>
      </c>
      <c r="AK69" s="21">
        <f>IFERROR(AJ69/U69,"")</f>
        <v>0.8333333333333334</v>
      </c>
      <c r="AL69" s="20">
        <v>0.0</v>
      </c>
      <c r="AM69" s="21">
        <v>0.0</v>
      </c>
      <c r="AN69" s="20">
        <v>5.0</v>
      </c>
      <c r="AO69" s="21">
        <f>IFERROR(AN69/AJ69,"")</f>
        <v>1.0</v>
      </c>
      <c r="AP69" s="24">
        <v>2.0</v>
      </c>
      <c r="AQ69" s="21">
        <v>0.0</v>
      </c>
      <c r="AR69" s="24"/>
      <c r="AS69" s="21">
        <v>0.0</v>
      </c>
      <c r="AT69" s="21">
        <v>0.0</v>
      </c>
      <c r="AU69" s="21">
        <v>1.0</v>
      </c>
      <c r="AV69" s="24"/>
      <c r="AW69" s="21"/>
      <c r="AX69" s="20">
        <v>1.0</v>
      </c>
      <c r="AY69" s="21">
        <f>IFERROR(AX69/U69,"")</f>
        <v>0.16666666666666666</v>
      </c>
      <c r="AZ69" s="20">
        <v>0.0</v>
      </c>
      <c r="BA69" s="21">
        <v>0.0</v>
      </c>
      <c r="BB69" s="20">
        <v>1.0</v>
      </c>
      <c r="BC69" s="21">
        <f>IFERROR(BB69/AX69,"")</f>
        <v>1.0</v>
      </c>
      <c r="BD69" s="24">
        <v>2.0</v>
      </c>
      <c r="BE69" s="21">
        <v>0.0</v>
      </c>
      <c r="BF69" s="24"/>
      <c r="BG69" s="21">
        <v>0.0</v>
      </c>
      <c r="BH69" s="21">
        <v>0.0</v>
      </c>
      <c r="BI69" s="21">
        <v>0.0</v>
      </c>
      <c r="BJ69" s="24"/>
      <c r="BK69" s="21"/>
      <c r="BL69" s="22">
        <v>1.0</v>
      </c>
      <c r="BM69" s="20">
        <v>1.0</v>
      </c>
      <c r="BN69" s="21">
        <f>IFERROR(BM69/BL69,"")</f>
        <v>1.0</v>
      </c>
      <c r="BO69" s="24">
        <v>1.0</v>
      </c>
      <c r="BP69" s="21">
        <v>0.0</v>
      </c>
      <c r="BQ69" s="24"/>
      <c r="BR69" s="21">
        <v>0.0</v>
      </c>
      <c r="BS69" s="21">
        <v>0.0</v>
      </c>
      <c r="BT69" s="21">
        <v>0.0</v>
      </c>
      <c r="BU69" s="24"/>
      <c r="BV69" s="21"/>
      <c r="BW69" s="22">
        <v>11.0</v>
      </c>
      <c r="BX69" s="20">
        <v>2.0</v>
      </c>
      <c r="BY69" s="21">
        <f>IFERROR(BX69/BW69,"")</f>
        <v>0.18181818181818182</v>
      </c>
      <c r="BZ69" s="24">
        <v>1.5</v>
      </c>
      <c r="CA69" s="21">
        <v>0.0</v>
      </c>
      <c r="CB69" s="24"/>
      <c r="CC69" s="21">
        <v>0.0</v>
      </c>
      <c r="CD69" s="21">
        <v>0.0</v>
      </c>
      <c r="CE69" s="21">
        <v>0.7272727272727273</v>
      </c>
      <c r="CF69" s="24"/>
      <c r="CG69" s="21"/>
    </row>
    <row r="70" spans="1:85" s="14" customFormat="1" ht="18.6" customHeight="1">
      <c r="A70" s="14"/>
      <c r="B70" s="20"/>
      <c r="C70" s="20" t="s">
        <v>138</v>
      </c>
      <c r="D70" s="21"/>
      <c r="E70" s="21">
        <f>IFERROR(H70/G70,"")</f>
        <v>0.08577878103837472</v>
      </c>
      <c r="F70" s="21">
        <f>IFERROR(I70/G70,"")</f>
        <v>0.002257336343115124</v>
      </c>
      <c r="G70" s="20">
        <v>443.0</v>
      </c>
      <c r="H70" s="22">
        <v>38.0</v>
      </c>
      <c r="I70" s="22">
        <v>1.0</v>
      </c>
      <c r="J70" s="22">
        <v>8.0</v>
      </c>
      <c r="K70" s="34">
        <f>J70/H70</f>
        <v>0.21052631578947367</v>
      </c>
      <c r="L70" s="30">
        <f>IF(E70-D70&lt;0,0,CEILING((E70-D70)*G70,1))</f>
        <v>38.0</v>
      </c>
      <c r="M70" s="23">
        <v>4.0</v>
      </c>
      <c r="N70" s="23">
        <v>1.0</v>
      </c>
      <c r="O70" s="22"/>
      <c r="P70" s="22"/>
      <c r="Q70" s="22"/>
      <c r="R70" s="21"/>
      <c r="S70" s="23"/>
      <c r="T70" s="31"/>
      <c r="U70" s="22">
        <v>13.0</v>
      </c>
      <c r="V70" s="22">
        <v>0.0</v>
      </c>
      <c r="W70" s="22">
        <v>0.0</v>
      </c>
      <c r="X70" s="22">
        <v>2.0</v>
      </c>
      <c r="Y70" s="34">
        <v>0.15384615384615385</v>
      </c>
      <c r="Z70" s="20">
        <v>12.0</v>
      </c>
      <c r="AA70" s="21">
        <f>IFERROR(Z70/U70,"")</f>
        <v>0.9230769230769231</v>
      </c>
      <c r="AB70" s="24">
        <v>1.0</v>
      </c>
      <c r="AC70" s="21">
        <v>0.08333333333333333</v>
      </c>
      <c r="AD70" s="24">
        <v>2.5</v>
      </c>
      <c r="AE70" s="21">
        <v>0.0</v>
      </c>
      <c r="AF70" s="21">
        <v>0.0</v>
      </c>
      <c r="AG70" s="21">
        <v>0.6153846153846154</v>
      </c>
      <c r="AH70" s="24"/>
      <c r="AI70" s="21"/>
      <c r="AJ70" s="20">
        <v>11.0</v>
      </c>
      <c r="AK70" s="21">
        <f>IFERROR(AJ70/U70,"")</f>
        <v>0.8461538461538461</v>
      </c>
      <c r="AL70" s="20">
        <v>2.0</v>
      </c>
      <c r="AM70" s="21">
        <v>0.18181818181818182</v>
      </c>
      <c r="AN70" s="20">
        <v>10.0</v>
      </c>
      <c r="AO70" s="21">
        <f>IFERROR(AN70/AJ70,"")</f>
        <v>0.9090909090909091</v>
      </c>
      <c r="AP70" s="24">
        <v>1.0</v>
      </c>
      <c r="AQ70" s="21">
        <v>0.1</v>
      </c>
      <c r="AR70" s="24">
        <v>2.5</v>
      </c>
      <c r="AS70" s="21">
        <v>0.0</v>
      </c>
      <c r="AT70" s="21">
        <v>0.0</v>
      </c>
      <c r="AU70" s="21">
        <v>0.5454545454545454</v>
      </c>
      <c r="AV70" s="24"/>
      <c r="AW70" s="21"/>
      <c r="AX70" s="20">
        <v>2.0</v>
      </c>
      <c r="AY70" s="21">
        <f>IFERROR(AX70/U70,"")</f>
        <v>0.15384615384615385</v>
      </c>
      <c r="AZ70" s="20">
        <v>0.0</v>
      </c>
      <c r="BA70" s="21">
        <v>0.0</v>
      </c>
      <c r="BB70" s="20">
        <v>2.0</v>
      </c>
      <c r="BC70" s="21">
        <f>IFERROR(BB70/AX70,"")</f>
        <v>1.0</v>
      </c>
      <c r="BD70" s="24">
        <v>1.0</v>
      </c>
      <c r="BE70" s="21">
        <v>0.0</v>
      </c>
      <c r="BF70" s="24"/>
      <c r="BG70" s="21">
        <v>0.0</v>
      </c>
      <c r="BH70" s="21">
        <v>0.0</v>
      </c>
      <c r="BI70" s="21">
        <v>1.0</v>
      </c>
      <c r="BJ70" s="24"/>
      <c r="BK70" s="21"/>
      <c r="BL70" s="22">
        <v>2.0</v>
      </c>
      <c r="BM70" s="20">
        <v>2.0</v>
      </c>
      <c r="BN70" s="21">
        <f>IFERROR(BM70/BL70,"")</f>
        <v>1.0</v>
      </c>
      <c r="BO70" s="24">
        <v>1.5</v>
      </c>
      <c r="BP70" s="21">
        <v>0.6666666666666666</v>
      </c>
      <c r="BQ70" s="24">
        <v>7.033333333333333</v>
      </c>
      <c r="BR70" s="21">
        <v>0.0</v>
      </c>
      <c r="BS70" s="21">
        <v>0.0</v>
      </c>
      <c r="BT70" s="21">
        <v>0.5</v>
      </c>
      <c r="BU70" s="24"/>
      <c r="BV70" s="21"/>
      <c r="BW70" s="22">
        <v>17.0</v>
      </c>
      <c r="BX70" s="20">
        <v>5.0</v>
      </c>
      <c r="BY70" s="21">
        <f>IFERROR(BX70/BW70,"")</f>
        <v>0.29411764705882354</v>
      </c>
      <c r="BZ70" s="24">
        <v>1.0</v>
      </c>
      <c r="CA70" s="21">
        <v>0.0</v>
      </c>
      <c r="CB70" s="24"/>
      <c r="CC70" s="21">
        <v>0.0</v>
      </c>
      <c r="CD70" s="21">
        <v>0.0</v>
      </c>
      <c r="CE70" s="21">
        <v>0.7058823529411765</v>
      </c>
      <c r="CF70" s="24"/>
      <c r="CG70" s="21"/>
    </row>
    <row r="71" spans="1:85" s="14" customFormat="1" ht="18.6" customHeight="1">
      <c r="A71" s="14"/>
      <c r="B71" s="20"/>
      <c r="C71" s="20" t="s">
        <v>139</v>
      </c>
      <c r="D71" s="21"/>
      <c r="E71" s="21">
        <f>IFERROR(H71/G71,"")</f>
        <v>0.05357142857142857</v>
      </c>
      <c r="F71" s="21">
        <f>IFERROR(I71/G71,"")</f>
        <v>0.0</v>
      </c>
      <c r="G71" s="20">
        <v>504.0</v>
      </c>
      <c r="H71" s="22">
        <v>27.0</v>
      </c>
      <c r="I71" s="22">
        <v>0.0</v>
      </c>
      <c r="J71" s="22">
        <v>10.0</v>
      </c>
      <c r="K71" s="34">
        <f>J71/H71</f>
        <v>0.37037037037037035</v>
      </c>
      <c r="L71" s="30">
        <f>IF(E71-D71&lt;0,0,CEILING((E71-D71)*G71,1))</f>
        <v>27.0</v>
      </c>
      <c r="M71" s="23">
        <v>5.0</v>
      </c>
      <c r="N71" s="23">
        <v>0.0</v>
      </c>
      <c r="O71" s="22"/>
      <c r="P71" s="22"/>
      <c r="Q71" s="22"/>
      <c r="R71" s="21"/>
      <c r="S71" s="23"/>
      <c r="T71" s="31"/>
      <c r="U71" s="22">
        <v>9.0</v>
      </c>
      <c r="V71" s="22">
        <v>0.0</v>
      </c>
      <c r="W71" s="22">
        <v>0.0</v>
      </c>
      <c r="X71" s="22">
        <v>0.0</v>
      </c>
      <c r="Y71" s="34">
        <v>0.0</v>
      </c>
      <c r="Z71" s="20">
        <v>4.0</v>
      </c>
      <c r="AA71" s="21">
        <f>IFERROR(Z71/U71,"")</f>
        <v>0.4444444444444444</v>
      </c>
      <c r="AB71" s="24">
        <v>1.5</v>
      </c>
      <c r="AC71" s="21">
        <v>0.0</v>
      </c>
      <c r="AD71" s="24"/>
      <c r="AE71" s="21">
        <v>0.0</v>
      </c>
      <c r="AF71" s="21">
        <v>0.0</v>
      </c>
      <c r="AG71" s="21">
        <v>1.0</v>
      </c>
      <c r="AH71" s="24"/>
      <c r="AI71" s="21"/>
      <c r="AJ71" s="20">
        <v>7.0</v>
      </c>
      <c r="AK71" s="21">
        <f>IFERROR(AJ71/U71,"")</f>
        <v>0.7777777777777778</v>
      </c>
      <c r="AL71" s="20">
        <v>0.0</v>
      </c>
      <c r="AM71" s="21">
        <v>0.0</v>
      </c>
      <c r="AN71" s="20">
        <v>4.0</v>
      </c>
      <c r="AO71" s="21">
        <f>IFERROR(AN71/AJ71,"")</f>
        <v>0.5714285714285714</v>
      </c>
      <c r="AP71" s="24">
        <v>1.5</v>
      </c>
      <c r="AQ71" s="21">
        <v>0.0</v>
      </c>
      <c r="AR71" s="24"/>
      <c r="AS71" s="21">
        <v>0.0</v>
      </c>
      <c r="AT71" s="21">
        <v>0.0</v>
      </c>
      <c r="AU71" s="21">
        <v>1.0</v>
      </c>
      <c r="AV71" s="24"/>
      <c r="AW71" s="21"/>
      <c r="AX71" s="20">
        <v>2.0</v>
      </c>
      <c r="AY71" s="21">
        <f>IFERROR(AX71/U71,"")</f>
        <v>0.2222222222222222</v>
      </c>
      <c r="AZ71" s="20">
        <v>0.0</v>
      </c>
      <c r="BA71" s="21">
        <v>0.0</v>
      </c>
      <c r="BB71" s="20">
        <v>0.0</v>
      </c>
      <c r="BC71" s="21">
        <f>IFERROR(BB71/AX71,"")</f>
        <v>0.0</v>
      </c>
      <c r="BD71" s="24"/>
      <c r="BE71" s="21"/>
      <c r="BF71" s="24"/>
      <c r="BG71" s="21">
        <v>0.0</v>
      </c>
      <c r="BH71" s="21">
        <v>0.0</v>
      </c>
      <c r="BI71" s="21">
        <v>1.0</v>
      </c>
      <c r="BJ71" s="24"/>
      <c r="BK71" s="21"/>
      <c r="BL71" s="22">
        <v>0.0</v>
      </c>
      <c r="BM71" s="20">
        <v>0.0</v>
      </c>
      <c r="BN71" s="21" t="str">
        <f>IFERROR(BM71/BL71,"")</f>
        <v/>
      </c>
      <c r="BO71" s="24"/>
      <c r="BP71" s="21"/>
      <c r="BQ71" s="24"/>
      <c r="BR71" s="21"/>
      <c r="BS71" s="21"/>
      <c r="BT71" s="21"/>
      <c r="BU71" s="24"/>
      <c r="BV71" s="21"/>
      <c r="BW71" s="22">
        <v>15.0</v>
      </c>
      <c r="BX71" s="20">
        <v>2.0</v>
      </c>
      <c r="BY71" s="21">
        <f>IFERROR(BX71/BW71,"")</f>
        <v>0.13333333333333333</v>
      </c>
      <c r="BZ71" s="24">
        <v>1.0</v>
      </c>
      <c r="CA71" s="21">
        <v>0.0</v>
      </c>
      <c r="CB71" s="24"/>
      <c r="CC71" s="21">
        <v>0.0</v>
      </c>
      <c r="CD71" s="21">
        <v>0.0</v>
      </c>
      <c r="CE71" s="21">
        <v>0.7333333333333333</v>
      </c>
      <c r="CF71" s="24"/>
      <c r="CG71" s="21"/>
    </row>
    <row r="72" spans="1:85" s="14" customFormat="1" ht="18.6" customHeight="1">
      <c r="A72" s="14"/>
      <c r="B72" s="20"/>
      <c r="C72" s="20" t="s">
        <v>140</v>
      </c>
      <c r="D72" s="21"/>
      <c r="E72" s="21">
        <f>IFERROR(H72/G72,"")</f>
        <v>0.06855791962174941</v>
      </c>
      <c r="F72" s="21">
        <f>IFERROR(I72/G72,"")</f>
        <v>0.004728132387706856</v>
      </c>
      <c r="G72" s="20">
        <v>423.0</v>
      </c>
      <c r="H72" s="22">
        <v>29.0</v>
      </c>
      <c r="I72" s="22">
        <v>2.0</v>
      </c>
      <c r="J72" s="22">
        <v>4.0</v>
      </c>
      <c r="K72" s="34">
        <f>J72/H72</f>
        <v>0.13793103448275862</v>
      </c>
      <c r="L72" s="30">
        <f>IF(E72-D72&lt;0,0,CEILING((E72-D72)*G72,1))</f>
        <v>29.0</v>
      </c>
      <c r="M72" s="23">
        <v>2.0</v>
      </c>
      <c r="N72" s="23">
        <v>0.0</v>
      </c>
      <c r="O72" s="22"/>
      <c r="P72" s="22"/>
      <c r="Q72" s="22"/>
      <c r="R72" s="21"/>
      <c r="S72" s="23"/>
      <c r="T72" s="31"/>
      <c r="U72" s="22">
        <v>12.0</v>
      </c>
      <c r="V72" s="22">
        <v>0.0</v>
      </c>
      <c r="W72" s="22">
        <v>0.0</v>
      </c>
      <c r="X72" s="22">
        <v>2.0</v>
      </c>
      <c r="Y72" s="34">
        <v>0.16666666666666666</v>
      </c>
      <c r="Z72" s="20">
        <v>7.0</v>
      </c>
      <c r="AA72" s="21">
        <f>IFERROR(Z72/U72,"")</f>
        <v>0.5833333333333334</v>
      </c>
      <c r="AB72" s="24">
        <v>2.142857142857143</v>
      </c>
      <c r="AC72" s="21">
        <v>0.06666666666666667</v>
      </c>
      <c r="AD72" s="24">
        <v>5.216666666666667</v>
      </c>
      <c r="AE72" s="21">
        <v>0.0</v>
      </c>
      <c r="AF72" s="21">
        <v>0.0</v>
      </c>
      <c r="AG72" s="21">
        <v>1.0</v>
      </c>
      <c r="AH72" s="24"/>
      <c r="AI72" s="21"/>
      <c r="AJ72" s="20">
        <v>12.0</v>
      </c>
      <c r="AK72" s="21">
        <f>IFERROR(AJ72/U72,"")</f>
        <v>1.0</v>
      </c>
      <c r="AL72" s="20">
        <v>2.0</v>
      </c>
      <c r="AM72" s="21">
        <v>0.16666666666666666</v>
      </c>
      <c r="AN72" s="20">
        <v>7.0</v>
      </c>
      <c r="AO72" s="21">
        <f>IFERROR(AN72/AJ72,"")</f>
        <v>0.5833333333333334</v>
      </c>
      <c r="AP72" s="24">
        <v>2.142857142857143</v>
      </c>
      <c r="AQ72" s="21">
        <v>0.06666666666666667</v>
      </c>
      <c r="AR72" s="24">
        <v>5.216666666666667</v>
      </c>
      <c r="AS72" s="21">
        <v>0.0</v>
      </c>
      <c r="AT72" s="21">
        <v>0.0</v>
      </c>
      <c r="AU72" s="21">
        <v>1.0</v>
      </c>
      <c r="AV72" s="24"/>
      <c r="AW72" s="21"/>
      <c r="AX72" s="20">
        <v>0.0</v>
      </c>
      <c r="AY72" s="21">
        <f>IFERROR(AX72/U72,"")</f>
        <v>0.0</v>
      </c>
      <c r="AZ72" s="20"/>
      <c r="BA72" s="21"/>
      <c r="BB72" s="20">
        <v>0.0</v>
      </c>
      <c r="BC72" s="21" t="str">
        <f>IFERROR(BB72/AX72,"")</f>
        <v/>
      </c>
      <c r="BD72" s="24"/>
      <c r="BE72" s="21"/>
      <c r="BF72" s="24"/>
      <c r="BG72" s="21"/>
      <c r="BH72" s="21"/>
      <c r="BI72" s="21"/>
      <c r="BJ72" s="24"/>
      <c r="BK72" s="21"/>
      <c r="BL72" s="22">
        <v>2.0</v>
      </c>
      <c r="BM72" s="20">
        <v>1.0</v>
      </c>
      <c r="BN72" s="21">
        <f>IFERROR(BM72/BL72,"")</f>
        <v>0.5</v>
      </c>
      <c r="BO72" s="24">
        <v>1.0</v>
      </c>
      <c r="BP72" s="21">
        <v>1.0</v>
      </c>
      <c r="BQ72" s="24">
        <v>3.716666666666667</v>
      </c>
      <c r="BR72" s="21">
        <v>0.0</v>
      </c>
      <c r="BS72" s="21">
        <v>0.0</v>
      </c>
      <c r="BT72" s="21">
        <v>1.0</v>
      </c>
      <c r="BU72" s="24"/>
      <c r="BV72" s="21"/>
      <c r="BW72" s="22">
        <v>23.0</v>
      </c>
      <c r="BX72" s="20">
        <v>8.0</v>
      </c>
      <c r="BY72" s="21">
        <f>IFERROR(BX72/BW72,"")</f>
        <v>0.34782608695652173</v>
      </c>
      <c r="BZ72" s="24">
        <v>1.125</v>
      </c>
      <c r="CA72" s="21">
        <v>0.0</v>
      </c>
      <c r="CB72" s="24"/>
      <c r="CC72" s="21">
        <v>0.0</v>
      </c>
      <c r="CD72" s="21">
        <v>0.0</v>
      </c>
      <c r="CE72" s="21">
        <v>0.8260869565217391</v>
      </c>
      <c r="CF72" s="24"/>
      <c r="CG72" s="21"/>
    </row>
    <row r="73" spans="1:85" s="14" customFormat="1" ht="18.6" customHeight="1">
      <c r="A73" s="14"/>
      <c r="B73" s="20"/>
      <c r="C73" s="20" t="s">
        <v>141</v>
      </c>
      <c r="D73" s="21"/>
      <c r="E73" s="21">
        <f>IFERROR(H73/G73,"")</f>
        <v>0.07226107226107226</v>
      </c>
      <c r="F73" s="21">
        <f>IFERROR(I73/G73,"")</f>
        <v>0.0</v>
      </c>
      <c r="G73" s="20">
        <v>429.0</v>
      </c>
      <c r="H73" s="22">
        <v>31.0</v>
      </c>
      <c r="I73" s="22">
        <v>0.0</v>
      </c>
      <c r="J73" s="22">
        <v>6.0</v>
      </c>
      <c r="K73" s="34">
        <f>J73/H73</f>
        <v>0.1935483870967742</v>
      </c>
      <c r="L73" s="30">
        <f>IF(E73-D73&lt;0,0,CEILING((E73-D73)*G73,1))</f>
        <v>31.0</v>
      </c>
      <c r="M73" s="23">
        <v>3.0</v>
      </c>
      <c r="N73" s="23">
        <v>0.0</v>
      </c>
      <c r="O73" s="22"/>
      <c r="P73" s="22"/>
      <c r="Q73" s="22"/>
      <c r="R73" s="21"/>
      <c r="S73" s="23"/>
      <c r="T73" s="31"/>
      <c r="U73" s="22">
        <v>10.0</v>
      </c>
      <c r="V73" s="22">
        <v>0.0</v>
      </c>
      <c r="W73" s="22">
        <v>0.0</v>
      </c>
      <c r="X73" s="22">
        <v>0.0</v>
      </c>
      <c r="Y73" s="34">
        <v>0.0</v>
      </c>
      <c r="Z73" s="20">
        <v>0.0</v>
      </c>
      <c r="AA73" s="21">
        <f>IFERROR(Z73/U73,"")</f>
        <v>0.0</v>
      </c>
      <c r="AB73" s="24"/>
      <c r="AC73" s="21"/>
      <c r="AD73" s="24"/>
      <c r="AE73" s="21">
        <v>0.0</v>
      </c>
      <c r="AF73" s="21">
        <v>0.0</v>
      </c>
      <c r="AG73" s="21">
        <v>0.9</v>
      </c>
      <c r="AH73" s="24"/>
      <c r="AI73" s="21"/>
      <c r="AJ73" s="20">
        <v>5.0</v>
      </c>
      <c r="AK73" s="21">
        <f>IFERROR(AJ73/U73,"")</f>
        <v>0.5</v>
      </c>
      <c r="AL73" s="20">
        <v>0.0</v>
      </c>
      <c r="AM73" s="21">
        <v>0.0</v>
      </c>
      <c r="AN73" s="20">
        <v>0.0</v>
      </c>
      <c r="AO73" s="21">
        <f>IFERROR(AN73/AJ73,"")</f>
        <v>0.0</v>
      </c>
      <c r="AP73" s="24"/>
      <c r="AQ73" s="21"/>
      <c r="AR73" s="24"/>
      <c r="AS73" s="21">
        <v>0.0</v>
      </c>
      <c r="AT73" s="21">
        <v>0.0</v>
      </c>
      <c r="AU73" s="21">
        <v>0.8</v>
      </c>
      <c r="AV73" s="24"/>
      <c r="AW73" s="21"/>
      <c r="AX73" s="20">
        <v>5.0</v>
      </c>
      <c r="AY73" s="21">
        <f>IFERROR(AX73/U73,"")</f>
        <v>0.5</v>
      </c>
      <c r="AZ73" s="20">
        <v>0.0</v>
      </c>
      <c r="BA73" s="21">
        <v>0.0</v>
      </c>
      <c r="BB73" s="20">
        <v>0.0</v>
      </c>
      <c r="BC73" s="21">
        <f>IFERROR(BB73/AX73,"")</f>
        <v>0.0</v>
      </c>
      <c r="BD73" s="24"/>
      <c r="BE73" s="21"/>
      <c r="BF73" s="24"/>
      <c r="BG73" s="21">
        <v>0.0</v>
      </c>
      <c r="BH73" s="21">
        <v>0.0</v>
      </c>
      <c r="BI73" s="21">
        <v>1.0</v>
      </c>
      <c r="BJ73" s="24"/>
      <c r="BK73" s="21"/>
      <c r="BL73" s="22">
        <v>0.0</v>
      </c>
      <c r="BM73" s="20">
        <v>0.0</v>
      </c>
      <c r="BN73" s="21" t="str">
        <f>IFERROR(BM73/BL73,"")</f>
        <v/>
      </c>
      <c r="BO73" s="24"/>
      <c r="BP73" s="21"/>
      <c r="BQ73" s="24"/>
      <c r="BR73" s="21"/>
      <c r="BS73" s="21"/>
      <c r="BT73" s="21"/>
      <c r="BU73" s="24"/>
      <c r="BV73" s="21"/>
      <c r="BW73" s="22">
        <v>24.0</v>
      </c>
      <c r="BX73" s="20">
        <v>3.0</v>
      </c>
      <c r="BY73" s="21">
        <f>IFERROR(BX73/BW73,"")</f>
        <v>0.125</v>
      </c>
      <c r="BZ73" s="24">
        <v>1.0</v>
      </c>
      <c r="CA73" s="21">
        <v>0.3333333333333333</v>
      </c>
      <c r="CB73" s="24">
        <v>2.35</v>
      </c>
      <c r="CC73" s="21">
        <v>0.0</v>
      </c>
      <c r="CD73" s="21">
        <v>0.0</v>
      </c>
      <c r="CE73" s="21">
        <v>0.9166666666666666</v>
      </c>
      <c r="CF73" s="24"/>
      <c r="CG73" s="21"/>
    </row>
    <row r="74" spans="1:85" s="14" customFormat="1" ht="18.6" customHeight="1">
      <c r="A74" s="14"/>
      <c r="B74" s="20"/>
      <c r="C74" s="20" t="s">
        <v>142</v>
      </c>
      <c r="D74" s="21"/>
      <c r="E74" s="21">
        <f>IFERROR(H74/G74,"")</f>
        <v>0.10352422907488987</v>
      </c>
      <c r="F74" s="21">
        <f>IFERROR(I74/G74,"")</f>
        <v>0.0</v>
      </c>
      <c r="G74" s="20">
        <v>454.0</v>
      </c>
      <c r="H74" s="22">
        <v>47.0</v>
      </c>
      <c r="I74" s="22">
        <v>0.0</v>
      </c>
      <c r="J74" s="22">
        <v>5.0</v>
      </c>
      <c r="K74" s="34">
        <f>J74/H74</f>
        <v>0.10638297872340426</v>
      </c>
      <c r="L74" s="30">
        <f>IF(E74-D74&lt;0,0,CEILING((E74-D74)*G74,1))</f>
        <v>47.0</v>
      </c>
      <c r="M74" s="23">
        <v>0.0</v>
      </c>
      <c r="N74" s="23">
        <v>0.0</v>
      </c>
      <c r="O74" s="22"/>
      <c r="P74" s="22"/>
      <c r="Q74" s="22"/>
      <c r="R74" s="21"/>
      <c r="S74" s="23"/>
      <c r="T74" s="31"/>
      <c r="U74" s="22">
        <v>17.0</v>
      </c>
      <c r="V74" s="22">
        <v>0.0</v>
      </c>
      <c r="W74" s="22">
        <v>0.0</v>
      </c>
      <c r="X74" s="22">
        <v>2.0</v>
      </c>
      <c r="Y74" s="34">
        <v>0.11764705882352941</v>
      </c>
      <c r="Z74" s="20">
        <v>10.0</v>
      </c>
      <c r="AA74" s="21">
        <f>IFERROR(Z74/U74,"")</f>
        <v>0.5882352941176471</v>
      </c>
      <c r="AB74" s="24">
        <v>1.8</v>
      </c>
      <c r="AC74" s="21">
        <v>0.0</v>
      </c>
      <c r="AD74" s="24"/>
      <c r="AE74" s="21">
        <v>0.0</v>
      </c>
      <c r="AF74" s="21">
        <v>0.0</v>
      </c>
      <c r="AG74" s="21">
        <v>0.8823529411764706</v>
      </c>
      <c r="AH74" s="24"/>
      <c r="AI74" s="21"/>
      <c r="AJ74" s="20">
        <v>14.0</v>
      </c>
      <c r="AK74" s="21">
        <f>IFERROR(AJ74/U74,"")</f>
        <v>0.8235294117647058</v>
      </c>
      <c r="AL74" s="20">
        <v>1.0</v>
      </c>
      <c r="AM74" s="21">
        <v>0.07142857142857142</v>
      </c>
      <c r="AN74" s="20">
        <v>8.0</v>
      </c>
      <c r="AO74" s="21">
        <f>IFERROR(AN74/AJ74,"")</f>
        <v>0.5714285714285714</v>
      </c>
      <c r="AP74" s="24">
        <v>1.5</v>
      </c>
      <c r="AQ74" s="21">
        <v>0.0</v>
      </c>
      <c r="AR74" s="24"/>
      <c r="AS74" s="21">
        <v>0.0</v>
      </c>
      <c r="AT74" s="21">
        <v>0.0</v>
      </c>
      <c r="AU74" s="21">
        <v>0.8571428571428571</v>
      </c>
      <c r="AV74" s="24"/>
      <c r="AW74" s="21"/>
      <c r="AX74" s="20">
        <v>3.0</v>
      </c>
      <c r="AY74" s="21">
        <f>IFERROR(AX74/U74,"")</f>
        <v>0.17647058823529413</v>
      </c>
      <c r="AZ74" s="20">
        <v>1.0</v>
      </c>
      <c r="BA74" s="21">
        <v>0.3333333333333333</v>
      </c>
      <c r="BB74" s="20">
        <v>2.0</v>
      </c>
      <c r="BC74" s="21">
        <f>IFERROR(BB74/AX74,"")</f>
        <v>0.6666666666666666</v>
      </c>
      <c r="BD74" s="24">
        <v>3.0</v>
      </c>
      <c r="BE74" s="21">
        <v>0.0</v>
      </c>
      <c r="BF74" s="24"/>
      <c r="BG74" s="21">
        <v>0.0</v>
      </c>
      <c r="BH74" s="21">
        <v>0.0</v>
      </c>
      <c r="BI74" s="21">
        <v>1.0</v>
      </c>
      <c r="BJ74" s="24"/>
      <c r="BK74" s="21"/>
      <c r="BL74" s="22">
        <v>1.0</v>
      </c>
      <c r="BM74" s="20">
        <v>0.0</v>
      </c>
      <c r="BN74" s="21">
        <f>IFERROR(BM74/BL74,"")</f>
        <v>0.0</v>
      </c>
      <c r="BO74" s="24"/>
      <c r="BP74" s="21"/>
      <c r="BQ74" s="24"/>
      <c r="BR74" s="21">
        <v>0.0</v>
      </c>
      <c r="BS74" s="21">
        <v>0.0</v>
      </c>
      <c r="BT74" s="21">
        <v>1.0</v>
      </c>
      <c r="BU74" s="24"/>
      <c r="BV74" s="21"/>
      <c r="BW74" s="22">
        <v>32.0</v>
      </c>
      <c r="BX74" s="20">
        <v>11.0</v>
      </c>
      <c r="BY74" s="21">
        <f>IFERROR(BX74/BW74,"")</f>
        <v>0.34375</v>
      </c>
      <c r="BZ74" s="24">
        <v>1.1818181818181819</v>
      </c>
      <c r="CA74" s="21">
        <v>0.15384615384615385</v>
      </c>
      <c r="CB74" s="24">
        <v>3.591666666666667</v>
      </c>
      <c r="CC74" s="21">
        <v>0.0</v>
      </c>
      <c r="CD74" s="21">
        <v>0.0</v>
      </c>
      <c r="CE74" s="21">
        <v>0.8125</v>
      </c>
      <c r="CF74" s="24"/>
      <c r="CG74" s="21"/>
    </row>
    <row r="75" spans="1:85" s="14" customFormat="1" ht="18.6" customHeight="1">
      <c r="A75" s="14"/>
      <c r="B75" s="20"/>
      <c r="C75" s="20" t="s">
        <v>143</v>
      </c>
      <c r="D75" s="21"/>
      <c r="E75" s="21">
        <f>IFERROR(H75/G75,"")</f>
        <v>0.09259259259259259</v>
      </c>
      <c r="F75" s="21">
        <f>IFERROR(I75/G75,"")</f>
        <v>0.0</v>
      </c>
      <c r="G75" s="20">
        <v>486.0</v>
      </c>
      <c r="H75" s="22">
        <v>45.0</v>
      </c>
      <c r="I75" s="22">
        <v>0.0</v>
      </c>
      <c r="J75" s="22">
        <v>7.0</v>
      </c>
      <c r="K75" s="34">
        <f>J75/H75</f>
        <v>0.15555555555555556</v>
      </c>
      <c r="L75" s="30">
        <f>IF(E75-D75&lt;0,0,CEILING((E75-D75)*G75,1))</f>
        <v>45.0</v>
      </c>
      <c r="M75" s="23">
        <v>5.0</v>
      </c>
      <c r="N75" s="23">
        <v>0.0</v>
      </c>
      <c r="O75" s="22"/>
      <c r="P75" s="22"/>
      <c r="Q75" s="22"/>
      <c r="R75" s="21"/>
      <c r="S75" s="23"/>
      <c r="T75" s="31"/>
      <c r="U75" s="22">
        <v>15.0</v>
      </c>
      <c r="V75" s="22">
        <v>0.0</v>
      </c>
      <c r="W75" s="22">
        <v>0.0</v>
      </c>
      <c r="X75" s="22">
        <v>2.0</v>
      </c>
      <c r="Y75" s="34">
        <v>0.13333333333333333</v>
      </c>
      <c r="Z75" s="20">
        <v>1.0</v>
      </c>
      <c r="AA75" s="21">
        <f>IFERROR(Z75/U75,"")</f>
        <v>0.06666666666666667</v>
      </c>
      <c r="AB75" s="24">
        <v>1.0</v>
      </c>
      <c r="AC75" s="21">
        <v>0.0</v>
      </c>
      <c r="AD75" s="24"/>
      <c r="AE75" s="21">
        <v>0.0</v>
      </c>
      <c r="AF75" s="21">
        <v>0.0</v>
      </c>
      <c r="AG75" s="21">
        <v>0.8666666666666667</v>
      </c>
      <c r="AH75" s="24"/>
      <c r="AI75" s="21"/>
      <c r="AJ75" s="20">
        <v>11.0</v>
      </c>
      <c r="AK75" s="21">
        <f>IFERROR(AJ75/U75,"")</f>
        <v>0.7333333333333333</v>
      </c>
      <c r="AL75" s="20">
        <v>2.0</v>
      </c>
      <c r="AM75" s="21">
        <v>0.18181818181818182</v>
      </c>
      <c r="AN75" s="20">
        <v>1.0</v>
      </c>
      <c r="AO75" s="21">
        <f>IFERROR(AN75/AJ75,"")</f>
        <v>0.09090909090909091</v>
      </c>
      <c r="AP75" s="24">
        <v>1.0</v>
      </c>
      <c r="AQ75" s="21">
        <v>0.0</v>
      </c>
      <c r="AR75" s="24"/>
      <c r="AS75" s="21">
        <v>0.0</v>
      </c>
      <c r="AT75" s="21">
        <v>0.0</v>
      </c>
      <c r="AU75" s="21">
        <v>0.9090909090909091</v>
      </c>
      <c r="AV75" s="24"/>
      <c r="AW75" s="21"/>
      <c r="AX75" s="20">
        <v>4.0</v>
      </c>
      <c r="AY75" s="21">
        <f>IFERROR(AX75/U75,"")</f>
        <v>0.26666666666666666</v>
      </c>
      <c r="AZ75" s="20">
        <v>0.0</v>
      </c>
      <c r="BA75" s="21">
        <v>0.0</v>
      </c>
      <c r="BB75" s="20">
        <v>0.0</v>
      </c>
      <c r="BC75" s="21">
        <f>IFERROR(BB75/AX75,"")</f>
        <v>0.0</v>
      </c>
      <c r="BD75" s="24"/>
      <c r="BE75" s="21"/>
      <c r="BF75" s="24"/>
      <c r="BG75" s="21">
        <v>0.0</v>
      </c>
      <c r="BH75" s="21">
        <v>0.0</v>
      </c>
      <c r="BI75" s="21">
        <v>0.75</v>
      </c>
      <c r="BJ75" s="24"/>
      <c r="BK75" s="21"/>
      <c r="BL75" s="22">
        <v>0.0</v>
      </c>
      <c r="BM75" s="20">
        <v>0.0</v>
      </c>
      <c r="BN75" s="21" t="str">
        <f>IFERROR(BM75/BL75,"")</f>
        <v/>
      </c>
      <c r="BO75" s="24"/>
      <c r="BP75" s="21"/>
      <c r="BQ75" s="24"/>
      <c r="BR75" s="21"/>
      <c r="BS75" s="21"/>
      <c r="BT75" s="21"/>
      <c r="BU75" s="24"/>
      <c r="BV75" s="21"/>
      <c r="BW75" s="22">
        <v>18.0</v>
      </c>
      <c r="BX75" s="20">
        <v>3.0</v>
      </c>
      <c r="BY75" s="21">
        <f>IFERROR(BX75/BW75,"")</f>
        <v>0.16666666666666666</v>
      </c>
      <c r="BZ75" s="24">
        <v>1.0</v>
      </c>
      <c r="CA75" s="21">
        <v>0.0</v>
      </c>
      <c r="CB75" s="24"/>
      <c r="CC75" s="21">
        <v>0.0</v>
      </c>
      <c r="CD75" s="21">
        <v>0.0</v>
      </c>
      <c r="CE75" s="21">
        <v>0.8888888888888888</v>
      </c>
      <c r="CF75" s="24"/>
      <c r="CG75" s="21"/>
    </row>
    <row r="76" spans="1:85" s="14" customFormat="1" ht="18.6" customHeight="1">
      <c r="A76" s="14"/>
      <c r="B76" s="20" t="s">
        <v>90</v>
      </c>
      <c r="C76" s="20" t="s">
        <v>144</v>
      </c>
      <c r="D76" s="21"/>
      <c r="E76" s="21">
        <f>IFERROR(H76/G76,"")</f>
        <v>0.06493506493506493</v>
      </c>
      <c r="F76" s="21">
        <f>IFERROR(I76/G76,"")</f>
        <v>0.0</v>
      </c>
      <c r="G76" s="20">
        <v>231.0</v>
      </c>
      <c r="H76" s="22">
        <v>15.0</v>
      </c>
      <c r="I76" s="22">
        <v>0.0</v>
      </c>
      <c r="J76" s="22">
        <v>3.0</v>
      </c>
      <c r="K76" s="34">
        <f>J76/H76</f>
        <v>0.2</v>
      </c>
      <c r="L76" s="30">
        <f>IF(E76-D76&lt;0,0,CEILING((E76-D76)*G76,1))</f>
        <v>15.0</v>
      </c>
      <c r="M76" s="23">
        <v>2.0</v>
      </c>
      <c r="N76" s="23">
        <v>0.0</v>
      </c>
      <c r="O76" s="22"/>
      <c r="P76" s="22"/>
      <c r="Q76" s="22"/>
      <c r="R76" s="21"/>
      <c r="S76" s="23"/>
      <c r="T76" s="31"/>
      <c r="U76" s="22">
        <v>8.0</v>
      </c>
      <c r="V76" s="22">
        <v>0.0</v>
      </c>
      <c r="W76" s="22">
        <v>0.0</v>
      </c>
      <c r="X76" s="22">
        <v>1.0</v>
      </c>
      <c r="Y76" s="34">
        <v>0.125</v>
      </c>
      <c r="Z76" s="20">
        <v>2.0</v>
      </c>
      <c r="AA76" s="21">
        <f>IFERROR(Z76/U76,"")</f>
        <v>0.25</v>
      </c>
      <c r="AB76" s="24">
        <v>2.5</v>
      </c>
      <c r="AC76" s="21">
        <v>0.2</v>
      </c>
      <c r="AD76" s="24">
        <v>14.316666666666666</v>
      </c>
      <c r="AE76" s="21">
        <v>0.0</v>
      </c>
      <c r="AF76" s="21">
        <v>0.0</v>
      </c>
      <c r="AG76" s="21">
        <v>0.75</v>
      </c>
      <c r="AH76" s="24"/>
      <c r="AI76" s="21"/>
      <c r="AJ76" s="20">
        <v>6.0</v>
      </c>
      <c r="AK76" s="21">
        <f>IFERROR(AJ76/U76,"")</f>
        <v>0.75</v>
      </c>
      <c r="AL76" s="20">
        <v>1.0</v>
      </c>
      <c r="AM76" s="21">
        <v>0.16666666666666666</v>
      </c>
      <c r="AN76" s="20">
        <v>2.0</v>
      </c>
      <c r="AO76" s="21">
        <f>IFERROR(AN76/AJ76,"")</f>
        <v>0.3333333333333333</v>
      </c>
      <c r="AP76" s="24">
        <v>2.5</v>
      </c>
      <c r="AQ76" s="21">
        <v>0.2</v>
      </c>
      <c r="AR76" s="24">
        <v>14.316666666666666</v>
      </c>
      <c r="AS76" s="21">
        <v>0.0</v>
      </c>
      <c r="AT76" s="21">
        <v>0.0</v>
      </c>
      <c r="AU76" s="21">
        <v>0.6666666666666666</v>
      </c>
      <c r="AV76" s="24"/>
      <c r="AW76" s="21"/>
      <c r="AX76" s="20">
        <v>2.0</v>
      </c>
      <c r="AY76" s="21">
        <f>IFERROR(AX76/U76,"")</f>
        <v>0.25</v>
      </c>
      <c r="AZ76" s="20">
        <v>0.0</v>
      </c>
      <c r="BA76" s="21">
        <v>0.0</v>
      </c>
      <c r="BB76" s="20">
        <v>0.0</v>
      </c>
      <c r="BC76" s="21">
        <f>IFERROR(BB76/AX76,"")</f>
        <v>0.0</v>
      </c>
      <c r="BD76" s="24"/>
      <c r="BE76" s="21"/>
      <c r="BF76" s="24"/>
      <c r="BG76" s="21">
        <v>0.0</v>
      </c>
      <c r="BH76" s="21">
        <v>0.0</v>
      </c>
      <c r="BI76" s="21">
        <v>1.0</v>
      </c>
      <c r="BJ76" s="24"/>
      <c r="BK76" s="21"/>
      <c r="BL76" s="22">
        <v>2.0</v>
      </c>
      <c r="BM76" s="20">
        <v>1.0</v>
      </c>
      <c r="BN76" s="21">
        <f>IFERROR(BM76/BL76,"")</f>
        <v>0.5</v>
      </c>
      <c r="BO76" s="24">
        <v>1.0</v>
      </c>
      <c r="BP76" s="21">
        <v>0.0</v>
      </c>
      <c r="BQ76" s="24"/>
      <c r="BR76" s="21">
        <v>0.0</v>
      </c>
      <c r="BS76" s="21">
        <v>0.0</v>
      </c>
      <c r="BT76" s="21">
        <v>1.0</v>
      </c>
      <c r="BU76" s="24"/>
      <c r="BV76" s="21"/>
      <c r="BW76" s="22">
        <v>11.0</v>
      </c>
      <c r="BX76" s="20">
        <v>0.0</v>
      </c>
      <c r="BY76" s="21">
        <f>IFERROR(BX76/BW76,"")</f>
        <v>0.0</v>
      </c>
      <c r="BZ76" s="24"/>
      <c r="CA76" s="21"/>
      <c r="CB76" s="24"/>
      <c r="CC76" s="21">
        <v>0.0</v>
      </c>
      <c r="CD76" s="21">
        <v>0.0</v>
      </c>
      <c r="CE76" s="21">
        <v>0.8181818181818182</v>
      </c>
      <c r="CF76" s="24"/>
      <c r="CG76" s="21"/>
    </row>
    <row r="77" spans="1:85" s="14" customFormat="1" ht="18.6" customHeight="1">
      <c r="A77" s="14"/>
      <c r="B77" s="20"/>
      <c r="C77" s="20" t="s">
        <v>145</v>
      </c>
      <c r="D77" s="21"/>
      <c r="E77" s="21">
        <f>IFERROR(H77/G77,"")</f>
        <v>0.0781563126252505</v>
      </c>
      <c r="F77" s="21">
        <f>IFERROR(I77/G77,"")</f>
        <v>0.0</v>
      </c>
      <c r="G77" s="20">
        <v>499.0</v>
      </c>
      <c r="H77" s="22">
        <v>39.0</v>
      </c>
      <c r="I77" s="22">
        <v>0.0</v>
      </c>
      <c r="J77" s="22">
        <v>12.0</v>
      </c>
      <c r="K77" s="34">
        <f>J77/H77</f>
        <v>0.3076923076923077</v>
      </c>
      <c r="L77" s="30">
        <f>IF(E77-D77&lt;0,0,CEILING((E77-D77)*G77,1))</f>
        <v>39.0</v>
      </c>
      <c r="M77" s="23">
        <v>4.0</v>
      </c>
      <c r="N77" s="23">
        <v>0.0</v>
      </c>
      <c r="O77" s="22"/>
      <c r="P77" s="22"/>
      <c r="Q77" s="22"/>
      <c r="R77" s="21"/>
      <c r="S77" s="23"/>
      <c r="T77" s="31"/>
      <c r="U77" s="22">
        <v>13.0</v>
      </c>
      <c r="V77" s="22">
        <v>0.0</v>
      </c>
      <c r="W77" s="22">
        <v>0.0</v>
      </c>
      <c r="X77" s="22">
        <v>1.0</v>
      </c>
      <c r="Y77" s="34">
        <v>0.07692307692307693</v>
      </c>
      <c r="Z77" s="20">
        <v>8.0</v>
      </c>
      <c r="AA77" s="21">
        <f>IFERROR(Z77/U77,"")</f>
        <v>0.6153846153846154</v>
      </c>
      <c r="AB77" s="24">
        <v>1.75</v>
      </c>
      <c r="AC77" s="21">
        <v>0.0</v>
      </c>
      <c r="AD77" s="24"/>
      <c r="AE77" s="21">
        <v>0.0</v>
      </c>
      <c r="AF77" s="21">
        <v>0.0</v>
      </c>
      <c r="AG77" s="21">
        <v>0.7692307692307693</v>
      </c>
      <c r="AH77" s="24"/>
      <c r="AI77" s="21"/>
      <c r="AJ77" s="20">
        <v>12.0</v>
      </c>
      <c r="AK77" s="21">
        <f>IFERROR(AJ77/U77,"")</f>
        <v>0.9230769230769231</v>
      </c>
      <c r="AL77" s="20">
        <v>1.0</v>
      </c>
      <c r="AM77" s="21">
        <v>0.08333333333333333</v>
      </c>
      <c r="AN77" s="20">
        <v>8.0</v>
      </c>
      <c r="AO77" s="21">
        <f>IFERROR(AN77/AJ77,"")</f>
        <v>0.6666666666666666</v>
      </c>
      <c r="AP77" s="24">
        <v>1.75</v>
      </c>
      <c r="AQ77" s="21">
        <v>0.0</v>
      </c>
      <c r="AR77" s="24"/>
      <c r="AS77" s="21">
        <v>0.0</v>
      </c>
      <c r="AT77" s="21">
        <v>0.0</v>
      </c>
      <c r="AU77" s="21">
        <v>0.75</v>
      </c>
      <c r="AV77" s="24"/>
      <c r="AW77" s="21"/>
      <c r="AX77" s="20">
        <v>1.0</v>
      </c>
      <c r="AY77" s="21">
        <f>IFERROR(AX77/U77,"")</f>
        <v>0.07692307692307693</v>
      </c>
      <c r="AZ77" s="20">
        <v>0.0</v>
      </c>
      <c r="BA77" s="21">
        <v>0.0</v>
      </c>
      <c r="BB77" s="20">
        <v>0.0</v>
      </c>
      <c r="BC77" s="21">
        <f>IFERROR(BB77/AX77,"")</f>
        <v>0.0</v>
      </c>
      <c r="BD77" s="24"/>
      <c r="BE77" s="21"/>
      <c r="BF77" s="24"/>
      <c r="BG77" s="21">
        <v>0.0</v>
      </c>
      <c r="BH77" s="21">
        <v>0.0</v>
      </c>
      <c r="BI77" s="21">
        <v>1.0</v>
      </c>
      <c r="BJ77" s="24"/>
      <c r="BK77" s="21"/>
      <c r="BL77" s="22">
        <v>2.0</v>
      </c>
      <c r="BM77" s="20">
        <v>0.0</v>
      </c>
      <c r="BN77" s="21">
        <f>IFERROR(BM77/BL77,"")</f>
        <v>0.0</v>
      </c>
      <c r="BO77" s="24"/>
      <c r="BP77" s="21"/>
      <c r="BQ77" s="24"/>
      <c r="BR77" s="21">
        <v>0.0</v>
      </c>
      <c r="BS77" s="21">
        <v>0.0</v>
      </c>
      <c r="BT77" s="21">
        <v>1.0</v>
      </c>
      <c r="BU77" s="24"/>
      <c r="BV77" s="21"/>
      <c r="BW77" s="22">
        <v>27.0</v>
      </c>
      <c r="BX77" s="20">
        <v>9.0</v>
      </c>
      <c r="BY77" s="21">
        <f>IFERROR(BX77/BW77,"")</f>
        <v>0.3333333333333333</v>
      </c>
      <c r="BZ77" s="24">
        <v>1.5555555555555556</v>
      </c>
      <c r="CA77" s="21">
        <v>0.21428571428571427</v>
      </c>
      <c r="CB77" s="24">
        <v>3.588888888888889</v>
      </c>
      <c r="CC77" s="21">
        <v>0.0</v>
      </c>
      <c r="CD77" s="21">
        <v>0.0</v>
      </c>
      <c r="CE77" s="21">
        <v>0.9259259259259259</v>
      </c>
      <c r="CF77" s="24"/>
      <c r="CG77" s="21"/>
    </row>
    <row r="78" spans="1:85" s="14" customFormat="1" ht="18.6" customHeight="1">
      <c r="A78" s="14"/>
      <c r="B78" s="20"/>
      <c r="C78" s="20" t="s">
        <v>146</v>
      </c>
      <c r="D78" s="21"/>
      <c r="E78" s="21">
        <f>IFERROR(H78/G78,"")</f>
        <v>0.07183908045977011</v>
      </c>
      <c r="F78" s="21">
        <f>IFERROR(I78/G78,"")</f>
        <v>0.0</v>
      </c>
      <c r="G78" s="20">
        <v>348.0</v>
      </c>
      <c r="H78" s="22">
        <v>25.0</v>
      </c>
      <c r="I78" s="22">
        <v>0.0</v>
      </c>
      <c r="J78" s="22">
        <v>7.0</v>
      </c>
      <c r="K78" s="34">
        <f>J78/H78</f>
        <v>0.28</v>
      </c>
      <c r="L78" s="30">
        <f>IF(E78-D78&lt;0,0,CEILING((E78-D78)*G78,1))</f>
        <v>25.0</v>
      </c>
      <c r="M78" s="23">
        <v>5.0</v>
      </c>
      <c r="N78" s="23">
        <v>0.0</v>
      </c>
      <c r="O78" s="22"/>
      <c r="P78" s="22"/>
      <c r="Q78" s="22"/>
      <c r="R78" s="21"/>
      <c r="S78" s="23"/>
      <c r="T78" s="31"/>
      <c r="U78" s="22">
        <v>11.0</v>
      </c>
      <c r="V78" s="22">
        <v>0.0</v>
      </c>
      <c r="W78" s="22">
        <v>0.0</v>
      </c>
      <c r="X78" s="22">
        <v>1.0</v>
      </c>
      <c r="Y78" s="34">
        <v>0.09090909090909091</v>
      </c>
      <c r="Z78" s="20">
        <v>7.0</v>
      </c>
      <c r="AA78" s="21">
        <f>IFERROR(Z78/U78,"")</f>
        <v>0.6363636363636364</v>
      </c>
      <c r="AB78" s="24">
        <v>1.1428571428571428</v>
      </c>
      <c r="AC78" s="21">
        <v>0.25</v>
      </c>
      <c r="AD78" s="24">
        <v>10.7</v>
      </c>
      <c r="AE78" s="21">
        <v>0.0</v>
      </c>
      <c r="AF78" s="21">
        <v>0.0</v>
      </c>
      <c r="AG78" s="21">
        <v>0.9090909090909091</v>
      </c>
      <c r="AH78" s="24"/>
      <c r="AI78" s="21"/>
      <c r="AJ78" s="20">
        <v>10.0</v>
      </c>
      <c r="AK78" s="21">
        <f>IFERROR(AJ78/U78,"")</f>
        <v>0.9090909090909091</v>
      </c>
      <c r="AL78" s="20">
        <v>1.0</v>
      </c>
      <c r="AM78" s="21">
        <v>0.1</v>
      </c>
      <c r="AN78" s="20">
        <v>7.0</v>
      </c>
      <c r="AO78" s="21">
        <f>IFERROR(AN78/AJ78,"")</f>
        <v>0.7</v>
      </c>
      <c r="AP78" s="24">
        <v>1.1428571428571428</v>
      </c>
      <c r="AQ78" s="21">
        <v>0.25</v>
      </c>
      <c r="AR78" s="24">
        <v>10.7</v>
      </c>
      <c r="AS78" s="21">
        <v>0.0</v>
      </c>
      <c r="AT78" s="21">
        <v>0.0</v>
      </c>
      <c r="AU78" s="21">
        <v>0.9</v>
      </c>
      <c r="AV78" s="24"/>
      <c r="AW78" s="21"/>
      <c r="AX78" s="20">
        <v>1.0</v>
      </c>
      <c r="AY78" s="21">
        <f>IFERROR(AX78/U78,"")</f>
        <v>0.09090909090909091</v>
      </c>
      <c r="AZ78" s="20">
        <v>0.0</v>
      </c>
      <c r="BA78" s="21">
        <v>0.0</v>
      </c>
      <c r="BB78" s="20">
        <v>0.0</v>
      </c>
      <c r="BC78" s="21">
        <f>IFERROR(BB78/AX78,"")</f>
        <v>0.0</v>
      </c>
      <c r="BD78" s="24"/>
      <c r="BE78" s="21"/>
      <c r="BF78" s="24"/>
      <c r="BG78" s="21">
        <v>0.0</v>
      </c>
      <c r="BH78" s="21">
        <v>0.0</v>
      </c>
      <c r="BI78" s="21">
        <v>1.0</v>
      </c>
      <c r="BJ78" s="24"/>
      <c r="BK78" s="21"/>
      <c r="BL78" s="22">
        <v>2.0</v>
      </c>
      <c r="BM78" s="20">
        <v>0.0</v>
      </c>
      <c r="BN78" s="21">
        <f>IFERROR(BM78/BL78,"")</f>
        <v>0.0</v>
      </c>
      <c r="BO78" s="24"/>
      <c r="BP78" s="21"/>
      <c r="BQ78" s="24"/>
      <c r="BR78" s="21">
        <v>0.0</v>
      </c>
      <c r="BS78" s="21">
        <v>0.0</v>
      </c>
      <c r="BT78" s="21">
        <v>1.0</v>
      </c>
      <c r="BU78" s="24"/>
      <c r="BV78" s="21"/>
      <c r="BW78" s="22">
        <v>17.0</v>
      </c>
      <c r="BX78" s="20">
        <v>5.0</v>
      </c>
      <c r="BY78" s="21">
        <f>IFERROR(BX78/BW78,"")</f>
        <v>0.29411764705882354</v>
      </c>
      <c r="BZ78" s="24">
        <v>1.4</v>
      </c>
      <c r="CA78" s="21">
        <v>0.0</v>
      </c>
      <c r="CB78" s="24"/>
      <c r="CC78" s="21">
        <v>0.0</v>
      </c>
      <c r="CD78" s="21">
        <v>0.0</v>
      </c>
      <c r="CE78" s="21">
        <v>0.8823529411764706</v>
      </c>
      <c r="CF78" s="24"/>
      <c r="CG78" s="21"/>
    </row>
    <row r="79" spans="1:85" s="14" customFormat="1" ht="18.6" customHeight="1">
      <c r="A79" s="14"/>
      <c r="B79" s="20"/>
      <c r="C79" s="20" t="s">
        <v>147</v>
      </c>
      <c r="D79" s="21"/>
      <c r="E79" s="21">
        <f>IFERROR(H79/G79,"")</f>
        <v>0.058823529411764705</v>
      </c>
      <c r="F79" s="21">
        <f>IFERROR(I79/G79,"")</f>
        <v>0.0</v>
      </c>
      <c r="G79" s="20">
        <v>51.0</v>
      </c>
      <c r="H79" s="22">
        <v>3.0</v>
      </c>
      <c r="I79" s="22">
        <v>0.0</v>
      </c>
      <c r="J79" s="22">
        <v>0.0</v>
      </c>
      <c r="K79" s="34">
        <f>J79/H79</f>
        <v>0.0</v>
      </c>
      <c r="L79" s="30">
        <f>IF(E79-D79&lt;0,0,CEILING((E79-D79)*G79,1))</f>
        <v>3.0</v>
      </c>
      <c r="M79" s="23">
        <v>0.0</v>
      </c>
      <c r="N79" s="23">
        <v>0.0</v>
      </c>
      <c r="O79" s="22"/>
      <c r="P79" s="22"/>
      <c r="Q79" s="22"/>
      <c r="R79" s="21"/>
      <c r="S79" s="23"/>
      <c r="T79" s="31"/>
      <c r="U79" s="22">
        <v>2.0</v>
      </c>
      <c r="V79" s="22">
        <v>0.0</v>
      </c>
      <c r="W79" s="22">
        <v>0.0</v>
      </c>
      <c r="X79" s="22">
        <v>0.0</v>
      </c>
      <c r="Y79" s="34">
        <v>0.0</v>
      </c>
      <c r="Z79" s="20">
        <v>2.0</v>
      </c>
      <c r="AA79" s="21">
        <f>IFERROR(Z79/U79,"")</f>
        <v>1.0</v>
      </c>
      <c r="AB79" s="24">
        <v>1.5</v>
      </c>
      <c r="AC79" s="21">
        <v>0.0</v>
      </c>
      <c r="AD79" s="24"/>
      <c r="AE79" s="21">
        <v>0.0</v>
      </c>
      <c r="AF79" s="21">
        <v>0.0</v>
      </c>
      <c r="AG79" s="21">
        <v>0.5</v>
      </c>
      <c r="AH79" s="24"/>
      <c r="AI79" s="21"/>
      <c r="AJ79" s="20">
        <v>2.0</v>
      </c>
      <c r="AK79" s="21">
        <f>IFERROR(AJ79/U79,"")</f>
        <v>1.0</v>
      </c>
      <c r="AL79" s="20">
        <v>0.0</v>
      </c>
      <c r="AM79" s="21">
        <v>0.0</v>
      </c>
      <c r="AN79" s="20">
        <v>2.0</v>
      </c>
      <c r="AO79" s="21">
        <f>IFERROR(AN79/AJ79,"")</f>
        <v>1.0</v>
      </c>
      <c r="AP79" s="24">
        <v>1.5</v>
      </c>
      <c r="AQ79" s="21">
        <v>0.0</v>
      </c>
      <c r="AR79" s="24"/>
      <c r="AS79" s="21">
        <v>0.0</v>
      </c>
      <c r="AT79" s="21">
        <v>0.0</v>
      </c>
      <c r="AU79" s="21">
        <v>0.5</v>
      </c>
      <c r="AV79" s="24"/>
      <c r="AW79" s="21"/>
      <c r="AX79" s="20">
        <v>0.0</v>
      </c>
      <c r="AY79" s="21">
        <f>IFERROR(AX79/U79,"")</f>
        <v>0.0</v>
      </c>
      <c r="AZ79" s="20"/>
      <c r="BA79" s="21"/>
      <c r="BB79" s="20">
        <v>0.0</v>
      </c>
      <c r="BC79" s="21" t="str">
        <f>IFERROR(BB79/AX79,"")</f>
        <v/>
      </c>
      <c r="BD79" s="24"/>
      <c r="BE79" s="21"/>
      <c r="BF79" s="24"/>
      <c r="BG79" s="21"/>
      <c r="BH79" s="21"/>
      <c r="BI79" s="21"/>
      <c r="BJ79" s="24"/>
      <c r="BK79" s="21"/>
      <c r="BL79" s="22">
        <v>0.0</v>
      </c>
      <c r="BM79" s="20">
        <v>0.0</v>
      </c>
      <c r="BN79" s="21" t="str">
        <f>IFERROR(BM79/BL79,"")</f>
        <v/>
      </c>
      <c r="BO79" s="24"/>
      <c r="BP79" s="21"/>
      <c r="BQ79" s="24"/>
      <c r="BR79" s="21"/>
      <c r="BS79" s="21"/>
      <c r="BT79" s="21"/>
      <c r="BU79" s="24"/>
      <c r="BV79" s="21"/>
      <c r="BW79" s="22">
        <v>2.0</v>
      </c>
      <c r="BX79" s="20">
        <v>2.0</v>
      </c>
      <c r="BY79" s="21">
        <f>IFERROR(BX79/BW79,"")</f>
        <v>1.0</v>
      </c>
      <c r="BZ79" s="24">
        <v>7.0</v>
      </c>
      <c r="CA79" s="21">
        <v>0.0</v>
      </c>
      <c r="CB79" s="24"/>
      <c r="CC79" s="21">
        <v>0.0</v>
      </c>
      <c r="CD79" s="21">
        <v>0.0</v>
      </c>
      <c r="CE79" s="21">
        <v>1.0</v>
      </c>
      <c r="CF79" s="24"/>
      <c r="CG79" s="21"/>
    </row>
    <row r="80" spans="1:85" s="14" customFormat="1" ht="18.6" customHeight="1">
      <c r="A80" s="14"/>
      <c r="B80" s="20"/>
      <c r="C80" s="20" t="s">
        <v>148</v>
      </c>
      <c r="D80" s="21"/>
      <c r="E80" s="21">
        <f>IFERROR(H80/G80,"")</f>
        <v>0.07435897435897436</v>
      </c>
      <c r="F80" s="21">
        <f>IFERROR(I80/G80,"")</f>
        <v>0.0</v>
      </c>
      <c r="G80" s="20">
        <v>390.0</v>
      </c>
      <c r="H80" s="22">
        <v>29.0</v>
      </c>
      <c r="I80" s="22">
        <v>0.0</v>
      </c>
      <c r="J80" s="22">
        <v>10.0</v>
      </c>
      <c r="K80" s="34">
        <f>J80/H80</f>
        <v>0.3448275862068966</v>
      </c>
      <c r="L80" s="30">
        <f>IF(E80-D80&lt;0,0,CEILING((E80-D80)*G80,1))</f>
        <v>29.0</v>
      </c>
      <c r="M80" s="23">
        <v>3.0</v>
      </c>
      <c r="N80" s="23">
        <v>0.0</v>
      </c>
      <c r="O80" s="22"/>
      <c r="P80" s="22"/>
      <c r="Q80" s="22"/>
      <c r="R80" s="21"/>
      <c r="S80" s="23"/>
      <c r="T80" s="31"/>
      <c r="U80" s="22">
        <v>3.0</v>
      </c>
      <c r="V80" s="22">
        <v>0.0</v>
      </c>
      <c r="W80" s="22">
        <v>0.0</v>
      </c>
      <c r="X80" s="22">
        <v>0.0</v>
      </c>
      <c r="Y80" s="34">
        <v>0.0</v>
      </c>
      <c r="Z80" s="20">
        <v>2.0</v>
      </c>
      <c r="AA80" s="21">
        <f>IFERROR(Z80/U80,"")</f>
        <v>0.6666666666666666</v>
      </c>
      <c r="AB80" s="24">
        <v>1.0</v>
      </c>
      <c r="AC80" s="21">
        <v>1.0</v>
      </c>
      <c r="AD80" s="24">
        <v>13.725</v>
      </c>
      <c r="AE80" s="21">
        <v>0.0</v>
      </c>
      <c r="AF80" s="21">
        <v>0.0</v>
      </c>
      <c r="AG80" s="21">
        <v>1.0</v>
      </c>
      <c r="AH80" s="24"/>
      <c r="AI80" s="21"/>
      <c r="AJ80" s="20">
        <v>3.0</v>
      </c>
      <c r="AK80" s="21">
        <f>IFERROR(AJ80/U80,"")</f>
        <v>1.0</v>
      </c>
      <c r="AL80" s="20">
        <v>0.0</v>
      </c>
      <c r="AM80" s="21">
        <v>0.0</v>
      </c>
      <c r="AN80" s="20">
        <v>2.0</v>
      </c>
      <c r="AO80" s="21">
        <f>IFERROR(AN80/AJ80,"")</f>
        <v>0.6666666666666666</v>
      </c>
      <c r="AP80" s="24">
        <v>1.0</v>
      </c>
      <c r="AQ80" s="21">
        <v>1.0</v>
      </c>
      <c r="AR80" s="24">
        <v>13.725</v>
      </c>
      <c r="AS80" s="21">
        <v>0.0</v>
      </c>
      <c r="AT80" s="21">
        <v>0.0</v>
      </c>
      <c r="AU80" s="21">
        <v>1.0</v>
      </c>
      <c r="AV80" s="24"/>
      <c r="AW80" s="21"/>
      <c r="AX80" s="20">
        <v>0.0</v>
      </c>
      <c r="AY80" s="21">
        <f>IFERROR(AX80/U80,"")</f>
        <v>0.0</v>
      </c>
      <c r="AZ80" s="20"/>
      <c r="BA80" s="21"/>
      <c r="BB80" s="20">
        <v>0.0</v>
      </c>
      <c r="BC80" s="21" t="str">
        <f>IFERROR(BB80/AX80,"")</f>
        <v/>
      </c>
      <c r="BD80" s="24"/>
      <c r="BE80" s="21"/>
      <c r="BF80" s="24"/>
      <c r="BG80" s="21"/>
      <c r="BH80" s="21"/>
      <c r="BI80" s="21"/>
      <c r="BJ80" s="24"/>
      <c r="BK80" s="21"/>
      <c r="BL80" s="22">
        <v>0.0</v>
      </c>
      <c r="BM80" s="20">
        <v>0.0</v>
      </c>
      <c r="BN80" s="21" t="str">
        <f>IFERROR(BM80/BL80,"")</f>
        <v/>
      </c>
      <c r="BO80" s="24"/>
      <c r="BP80" s="21"/>
      <c r="BQ80" s="24"/>
      <c r="BR80" s="21"/>
      <c r="BS80" s="21"/>
      <c r="BT80" s="21"/>
      <c r="BU80" s="24"/>
      <c r="BV80" s="21"/>
      <c r="BW80" s="22">
        <v>18.0</v>
      </c>
      <c r="BX80" s="20">
        <v>10.0</v>
      </c>
      <c r="BY80" s="21">
        <f>IFERROR(BX80/BW80,"")</f>
        <v>0.5555555555555556</v>
      </c>
      <c r="BZ80" s="24">
        <v>1.6</v>
      </c>
      <c r="CA80" s="21">
        <v>0.1875</v>
      </c>
      <c r="CB80" s="24">
        <v>5.188888888888889</v>
      </c>
      <c r="CC80" s="21">
        <v>0.0</v>
      </c>
      <c r="CD80" s="21">
        <v>0.0</v>
      </c>
      <c r="CE80" s="21">
        <v>0.9444444444444444</v>
      </c>
      <c r="CF80" s="24"/>
      <c r="CG80" s="21"/>
    </row>
    <row r="81" spans="1:85" s="14" customFormat="1" ht="18.6" customHeight="1">
      <c r="A81" s="14"/>
      <c r="B81" s="20"/>
      <c r="C81" s="20" t="s">
        <v>149</v>
      </c>
      <c r="D81" s="21"/>
      <c r="E81" s="21">
        <f>IFERROR(H81/G81,"")</f>
        <v>0.0854368932038835</v>
      </c>
      <c r="F81" s="21">
        <f>IFERROR(I81/G81,"")</f>
        <v>0.0</v>
      </c>
      <c r="G81" s="20">
        <v>515.0</v>
      </c>
      <c r="H81" s="22">
        <v>44.0</v>
      </c>
      <c r="I81" s="22">
        <v>0.0</v>
      </c>
      <c r="J81" s="22">
        <v>7.0</v>
      </c>
      <c r="K81" s="34">
        <f>J81/H81</f>
        <v>0.1590909090909091</v>
      </c>
      <c r="L81" s="30">
        <f>IF(E81-D81&lt;0,0,CEILING((E81-D81)*G81,1))</f>
        <v>44.0</v>
      </c>
      <c r="M81" s="23">
        <v>3.0</v>
      </c>
      <c r="N81" s="23">
        <v>1.0</v>
      </c>
      <c r="O81" s="22"/>
      <c r="P81" s="22"/>
      <c r="Q81" s="22"/>
      <c r="R81" s="21"/>
      <c r="S81" s="23"/>
      <c r="T81" s="31"/>
      <c r="U81" s="22">
        <v>15.0</v>
      </c>
      <c r="V81" s="22">
        <v>0.0</v>
      </c>
      <c r="W81" s="22">
        <v>0.0</v>
      </c>
      <c r="X81" s="22">
        <v>0.0</v>
      </c>
      <c r="Y81" s="34">
        <v>0.0</v>
      </c>
      <c r="Z81" s="20">
        <v>8.0</v>
      </c>
      <c r="AA81" s="21">
        <f>IFERROR(Z81/U81,"")</f>
        <v>0.5333333333333333</v>
      </c>
      <c r="AB81" s="24">
        <v>1.125</v>
      </c>
      <c r="AC81" s="21">
        <v>0.0</v>
      </c>
      <c r="AD81" s="24"/>
      <c r="AE81" s="21">
        <v>0.0</v>
      </c>
      <c r="AF81" s="21">
        <v>0.0</v>
      </c>
      <c r="AG81" s="21">
        <v>1.0</v>
      </c>
      <c r="AH81" s="24"/>
      <c r="AI81" s="21"/>
      <c r="AJ81" s="20">
        <v>12.0</v>
      </c>
      <c r="AK81" s="21">
        <f>IFERROR(AJ81/U81,"")</f>
        <v>0.8</v>
      </c>
      <c r="AL81" s="20">
        <v>0.0</v>
      </c>
      <c r="AM81" s="21">
        <v>0.0</v>
      </c>
      <c r="AN81" s="20">
        <v>8.0</v>
      </c>
      <c r="AO81" s="21">
        <f>IFERROR(AN81/AJ81,"")</f>
        <v>0.6666666666666666</v>
      </c>
      <c r="AP81" s="24">
        <v>1.125</v>
      </c>
      <c r="AQ81" s="21">
        <v>0.0</v>
      </c>
      <c r="AR81" s="24"/>
      <c r="AS81" s="21">
        <v>0.0</v>
      </c>
      <c r="AT81" s="21">
        <v>0.0</v>
      </c>
      <c r="AU81" s="21">
        <v>1.0</v>
      </c>
      <c r="AV81" s="24"/>
      <c r="AW81" s="21"/>
      <c r="AX81" s="20">
        <v>3.0</v>
      </c>
      <c r="AY81" s="21">
        <f>IFERROR(AX81/U81,"")</f>
        <v>0.2</v>
      </c>
      <c r="AZ81" s="20">
        <v>0.0</v>
      </c>
      <c r="BA81" s="21">
        <v>0.0</v>
      </c>
      <c r="BB81" s="20">
        <v>0.0</v>
      </c>
      <c r="BC81" s="21">
        <f>IFERROR(BB81/AX81,"")</f>
        <v>0.0</v>
      </c>
      <c r="BD81" s="24"/>
      <c r="BE81" s="21"/>
      <c r="BF81" s="24"/>
      <c r="BG81" s="21">
        <v>0.0</v>
      </c>
      <c r="BH81" s="21">
        <v>0.0</v>
      </c>
      <c r="BI81" s="21">
        <v>1.0</v>
      </c>
      <c r="BJ81" s="24"/>
      <c r="BK81" s="21"/>
      <c r="BL81" s="22">
        <v>0.0</v>
      </c>
      <c r="BM81" s="20">
        <v>0.0</v>
      </c>
      <c r="BN81" s="21" t="str">
        <f>IFERROR(BM81/BL81,"")</f>
        <v/>
      </c>
      <c r="BO81" s="24"/>
      <c r="BP81" s="21"/>
      <c r="BQ81" s="24"/>
      <c r="BR81" s="21"/>
      <c r="BS81" s="21"/>
      <c r="BT81" s="21"/>
      <c r="BU81" s="24"/>
      <c r="BV81" s="21"/>
      <c r="BW81" s="22">
        <v>35.0</v>
      </c>
      <c r="BX81" s="20">
        <v>5.0</v>
      </c>
      <c r="BY81" s="21">
        <f>IFERROR(BX81/BW81,"")</f>
        <v>0.14285714285714285</v>
      </c>
      <c r="BZ81" s="24">
        <v>1.4</v>
      </c>
      <c r="CA81" s="21">
        <v>0.0</v>
      </c>
      <c r="CB81" s="24"/>
      <c r="CC81" s="21">
        <v>0.0</v>
      </c>
      <c r="CD81" s="21">
        <v>0.0</v>
      </c>
      <c r="CE81" s="21">
        <v>0.9142857142857143</v>
      </c>
      <c r="CF81" s="24"/>
      <c r="CG81" s="21"/>
    </row>
    <row r="82" spans="1:85" s="14" customFormat="1" ht="18.6" customHeight="1">
      <c r="A82" s="14"/>
      <c r="B82" s="20"/>
      <c r="C82" s="20" t="s">
        <v>150</v>
      </c>
      <c r="D82" s="21"/>
      <c r="E82" s="21">
        <f>IFERROR(H82/G82,"")</f>
        <v>0.09623430962343096</v>
      </c>
      <c r="F82" s="21">
        <f>IFERROR(I82/G82,"")</f>
        <v>0.0</v>
      </c>
      <c r="G82" s="20">
        <v>239.0</v>
      </c>
      <c r="H82" s="22">
        <v>23.0</v>
      </c>
      <c r="I82" s="22">
        <v>0.0</v>
      </c>
      <c r="J82" s="22">
        <v>5.0</v>
      </c>
      <c r="K82" s="34">
        <f>J82/H82</f>
        <v>0.21739130434782608</v>
      </c>
      <c r="L82" s="30">
        <f>IF(E82-D82&lt;0,0,CEILING((E82-D82)*G82,1))</f>
        <v>23.0</v>
      </c>
      <c r="M82" s="23">
        <v>2.0</v>
      </c>
      <c r="N82" s="23">
        <v>0.0</v>
      </c>
      <c r="O82" s="22"/>
      <c r="P82" s="22"/>
      <c r="Q82" s="22"/>
      <c r="R82" s="21"/>
      <c r="S82" s="23"/>
      <c r="T82" s="31"/>
      <c r="U82" s="22">
        <v>1.0</v>
      </c>
      <c r="V82" s="22">
        <v>0.0</v>
      </c>
      <c r="W82" s="22">
        <v>0.0</v>
      </c>
      <c r="X82" s="22">
        <v>0.0</v>
      </c>
      <c r="Y82" s="34">
        <v>0.0</v>
      </c>
      <c r="Z82" s="20">
        <v>0.0</v>
      </c>
      <c r="AA82" s="21">
        <f>IFERROR(Z82/U82,"")</f>
        <v>0.0</v>
      </c>
      <c r="AB82" s="24"/>
      <c r="AC82" s="21"/>
      <c r="AD82" s="24"/>
      <c r="AE82" s="21">
        <v>0.0</v>
      </c>
      <c r="AF82" s="21">
        <v>0.0</v>
      </c>
      <c r="AG82" s="21">
        <v>1.0</v>
      </c>
      <c r="AH82" s="24"/>
      <c r="AI82" s="21"/>
      <c r="AJ82" s="20">
        <v>1.0</v>
      </c>
      <c r="AK82" s="21">
        <f>IFERROR(AJ82/U82,"")</f>
        <v>1.0</v>
      </c>
      <c r="AL82" s="20">
        <v>0.0</v>
      </c>
      <c r="AM82" s="21">
        <v>0.0</v>
      </c>
      <c r="AN82" s="20">
        <v>0.0</v>
      </c>
      <c r="AO82" s="21">
        <f>IFERROR(AN82/AJ82,"")</f>
        <v>0.0</v>
      </c>
      <c r="AP82" s="24"/>
      <c r="AQ82" s="21"/>
      <c r="AR82" s="24"/>
      <c r="AS82" s="21">
        <v>0.0</v>
      </c>
      <c r="AT82" s="21">
        <v>0.0</v>
      </c>
      <c r="AU82" s="21">
        <v>1.0</v>
      </c>
      <c r="AV82" s="24"/>
      <c r="AW82" s="21"/>
      <c r="AX82" s="20">
        <v>0.0</v>
      </c>
      <c r="AY82" s="21">
        <f>IFERROR(AX82/U82,"")</f>
        <v>0.0</v>
      </c>
      <c r="AZ82" s="20"/>
      <c r="BA82" s="21"/>
      <c r="BB82" s="20">
        <v>0.0</v>
      </c>
      <c r="BC82" s="21" t="str">
        <f>IFERROR(BB82/AX82,"")</f>
        <v/>
      </c>
      <c r="BD82" s="24"/>
      <c r="BE82" s="21"/>
      <c r="BF82" s="24"/>
      <c r="BG82" s="21"/>
      <c r="BH82" s="21"/>
      <c r="BI82" s="21"/>
      <c r="BJ82" s="24"/>
      <c r="BK82" s="21"/>
      <c r="BL82" s="22">
        <v>0.0</v>
      </c>
      <c r="BM82" s="20">
        <v>0.0</v>
      </c>
      <c r="BN82" s="21" t="str">
        <f>IFERROR(BM82/BL82,"")</f>
        <v/>
      </c>
      <c r="BO82" s="24"/>
      <c r="BP82" s="21"/>
      <c r="BQ82" s="24"/>
      <c r="BR82" s="21"/>
      <c r="BS82" s="21"/>
      <c r="BT82" s="21"/>
      <c r="BU82" s="24"/>
      <c r="BV82" s="21"/>
      <c r="BW82" s="22">
        <v>5.0</v>
      </c>
      <c r="BX82" s="20">
        <v>1.0</v>
      </c>
      <c r="BY82" s="21">
        <f>IFERROR(BX82/BW82,"")</f>
        <v>0.2</v>
      </c>
      <c r="BZ82" s="24">
        <v>1.0</v>
      </c>
      <c r="CA82" s="21">
        <v>0.0</v>
      </c>
      <c r="CB82" s="24"/>
      <c r="CC82" s="21">
        <v>0.0</v>
      </c>
      <c r="CD82" s="21">
        <v>0.0</v>
      </c>
      <c r="CE82" s="21">
        <v>1.0</v>
      </c>
      <c r="CF82" s="24"/>
      <c r="CG82" s="21"/>
    </row>
    <row r="83" spans="1:85" s="14" customFormat="1" ht="18.6" customHeight="1">
      <c r="A83" s="14"/>
      <c r="B83" s="20"/>
      <c r="C83" s="20" t="s">
        <v>151</v>
      </c>
      <c r="D83" s="21"/>
      <c r="E83" s="21">
        <f>IFERROR(H83/G83,"")</f>
        <v>0.10920770877944326</v>
      </c>
      <c r="F83" s="21">
        <f>IFERROR(I83/G83,"")</f>
        <v>0.0</v>
      </c>
      <c r="G83" s="20">
        <v>467.0</v>
      </c>
      <c r="H83" s="22">
        <v>51.0</v>
      </c>
      <c r="I83" s="22">
        <v>0.0</v>
      </c>
      <c r="J83" s="22">
        <v>6.0</v>
      </c>
      <c r="K83" s="34">
        <f>J83/H83</f>
        <v>0.11764705882352941</v>
      </c>
      <c r="L83" s="30">
        <f>IF(E83-D83&lt;0,0,CEILING((E83-D83)*G83,1))</f>
        <v>51.0</v>
      </c>
      <c r="M83" s="23">
        <v>4.0</v>
      </c>
      <c r="N83" s="23">
        <v>0.0</v>
      </c>
      <c r="O83" s="22"/>
      <c r="P83" s="22"/>
      <c r="Q83" s="22"/>
      <c r="R83" s="21"/>
      <c r="S83" s="23"/>
      <c r="T83" s="31"/>
      <c r="U83" s="22">
        <v>10.0</v>
      </c>
      <c r="V83" s="22">
        <v>0.0</v>
      </c>
      <c r="W83" s="22">
        <v>0.0</v>
      </c>
      <c r="X83" s="22">
        <v>0.0</v>
      </c>
      <c r="Y83" s="34">
        <v>0.0</v>
      </c>
      <c r="Z83" s="20">
        <v>8.0</v>
      </c>
      <c r="AA83" s="21">
        <f>IFERROR(Z83/U83,"")</f>
        <v>0.8</v>
      </c>
      <c r="AB83" s="24">
        <v>1.25</v>
      </c>
      <c r="AC83" s="21">
        <v>0.0</v>
      </c>
      <c r="AD83" s="24"/>
      <c r="AE83" s="21">
        <v>0.0</v>
      </c>
      <c r="AF83" s="21">
        <v>0.0</v>
      </c>
      <c r="AG83" s="21">
        <v>0.6</v>
      </c>
      <c r="AH83" s="24"/>
      <c r="AI83" s="21"/>
      <c r="AJ83" s="20">
        <v>9.0</v>
      </c>
      <c r="AK83" s="21">
        <f>IFERROR(AJ83/U83,"")</f>
        <v>0.9</v>
      </c>
      <c r="AL83" s="20">
        <v>0.0</v>
      </c>
      <c r="AM83" s="21">
        <v>0.0</v>
      </c>
      <c r="AN83" s="20">
        <v>7.0</v>
      </c>
      <c r="AO83" s="21">
        <f>IFERROR(AN83/AJ83,"")</f>
        <v>0.7777777777777778</v>
      </c>
      <c r="AP83" s="24">
        <v>1.1428571428571428</v>
      </c>
      <c r="AQ83" s="21">
        <v>0.0</v>
      </c>
      <c r="AR83" s="24"/>
      <c r="AS83" s="21">
        <v>0.0</v>
      </c>
      <c r="AT83" s="21">
        <v>0.0</v>
      </c>
      <c r="AU83" s="21">
        <v>0.6666666666666666</v>
      </c>
      <c r="AV83" s="24"/>
      <c r="AW83" s="21"/>
      <c r="AX83" s="20">
        <v>1.0</v>
      </c>
      <c r="AY83" s="21">
        <f>IFERROR(AX83/U83,"")</f>
        <v>0.1</v>
      </c>
      <c r="AZ83" s="20">
        <v>0.0</v>
      </c>
      <c r="BA83" s="21">
        <v>0.0</v>
      </c>
      <c r="BB83" s="20">
        <v>1.0</v>
      </c>
      <c r="BC83" s="21">
        <f>IFERROR(BB83/AX83,"")</f>
        <v>1.0</v>
      </c>
      <c r="BD83" s="24">
        <v>2.0</v>
      </c>
      <c r="BE83" s="21">
        <v>0.0</v>
      </c>
      <c r="BF83" s="24"/>
      <c r="BG83" s="21">
        <v>0.0</v>
      </c>
      <c r="BH83" s="21">
        <v>0.0</v>
      </c>
      <c r="BI83" s="21">
        <v>0.0</v>
      </c>
      <c r="BJ83" s="24"/>
      <c r="BK83" s="21"/>
      <c r="BL83" s="22">
        <v>0.0</v>
      </c>
      <c r="BM83" s="20">
        <v>0.0</v>
      </c>
      <c r="BN83" s="21" t="str">
        <f>IFERROR(BM83/BL83,"")</f>
        <v/>
      </c>
      <c r="BO83" s="24"/>
      <c r="BP83" s="21"/>
      <c r="BQ83" s="24"/>
      <c r="BR83" s="21"/>
      <c r="BS83" s="21"/>
      <c r="BT83" s="21"/>
      <c r="BU83" s="24"/>
      <c r="BV83" s="21"/>
      <c r="BW83" s="22">
        <v>23.0</v>
      </c>
      <c r="BX83" s="20">
        <v>8.0</v>
      </c>
      <c r="BY83" s="21">
        <f>IFERROR(BX83/BW83,"")</f>
        <v>0.34782608695652173</v>
      </c>
      <c r="BZ83" s="24">
        <v>1.625</v>
      </c>
      <c r="CA83" s="21">
        <v>0.07692307692307693</v>
      </c>
      <c r="CB83" s="24">
        <v>7.166666666666667</v>
      </c>
      <c r="CC83" s="21">
        <v>0.043478260869565216</v>
      </c>
      <c r="CD83" s="21">
        <v>0.043478260869565216</v>
      </c>
      <c r="CE83" s="21">
        <v>0.9130434782608695</v>
      </c>
      <c r="CF83" s="24">
        <v>1.0</v>
      </c>
      <c r="CG83" s="21">
        <v>0.0</v>
      </c>
    </row>
    <row r="84" spans="1:85" s="14" customFormat="1" ht="18.6" customHeight="1">
      <c r="A84" s="14"/>
      <c r="B84" s="20"/>
      <c r="C84" s="20" t="s">
        <v>152</v>
      </c>
      <c r="D84" s="21"/>
      <c r="E84" s="21">
        <f>IFERROR(H84/G84,"")</f>
        <v>0.08333333333333333</v>
      </c>
      <c r="F84" s="21">
        <f>IFERROR(I84/G84,"")</f>
        <v>0.001851851851851852</v>
      </c>
      <c r="G84" s="20">
        <v>540.0</v>
      </c>
      <c r="H84" s="22">
        <v>45.0</v>
      </c>
      <c r="I84" s="22">
        <v>1.0</v>
      </c>
      <c r="J84" s="22">
        <v>7.0</v>
      </c>
      <c r="K84" s="34">
        <f>J84/H84</f>
        <v>0.15555555555555556</v>
      </c>
      <c r="L84" s="30">
        <f>IF(E84-D84&lt;0,0,CEILING((E84-D84)*G84,1))</f>
        <v>45.0</v>
      </c>
      <c r="M84" s="23">
        <v>5.0</v>
      </c>
      <c r="N84" s="23">
        <v>0.0</v>
      </c>
      <c r="O84" s="22"/>
      <c r="P84" s="22"/>
      <c r="Q84" s="22"/>
      <c r="R84" s="21"/>
      <c r="S84" s="23"/>
      <c r="T84" s="31"/>
      <c r="U84" s="22">
        <v>15.0</v>
      </c>
      <c r="V84" s="22">
        <v>0.0</v>
      </c>
      <c r="W84" s="22">
        <v>0.0</v>
      </c>
      <c r="X84" s="22">
        <v>1.0</v>
      </c>
      <c r="Y84" s="34">
        <v>0.06666666666666667</v>
      </c>
      <c r="Z84" s="20">
        <v>11.0</v>
      </c>
      <c r="AA84" s="21">
        <f>IFERROR(Z84/U84,"")</f>
        <v>0.7333333333333333</v>
      </c>
      <c r="AB84" s="24">
        <v>1.4545454545454546</v>
      </c>
      <c r="AC84" s="21">
        <v>0.0625</v>
      </c>
      <c r="AD84" s="24">
        <v>2.716666666666667</v>
      </c>
      <c r="AE84" s="21">
        <v>0.0</v>
      </c>
      <c r="AF84" s="21">
        <v>0.0</v>
      </c>
      <c r="AG84" s="21">
        <v>1.0</v>
      </c>
      <c r="AH84" s="24"/>
      <c r="AI84" s="21"/>
      <c r="AJ84" s="20">
        <v>10.0</v>
      </c>
      <c r="AK84" s="21">
        <f>IFERROR(AJ84/U84,"")</f>
        <v>0.6666666666666666</v>
      </c>
      <c r="AL84" s="20">
        <v>1.0</v>
      </c>
      <c r="AM84" s="21">
        <v>0.1</v>
      </c>
      <c r="AN84" s="20">
        <v>6.0</v>
      </c>
      <c r="AO84" s="21">
        <f>IFERROR(AN84/AJ84,"")</f>
        <v>0.6</v>
      </c>
      <c r="AP84" s="24">
        <v>1.8333333333333333</v>
      </c>
      <c r="AQ84" s="21">
        <v>0.09090909090909091</v>
      </c>
      <c r="AR84" s="24">
        <v>2.716666666666667</v>
      </c>
      <c r="AS84" s="21">
        <v>0.0</v>
      </c>
      <c r="AT84" s="21">
        <v>0.0</v>
      </c>
      <c r="AU84" s="21">
        <v>1.0</v>
      </c>
      <c r="AV84" s="24"/>
      <c r="AW84" s="21"/>
      <c r="AX84" s="20">
        <v>5.0</v>
      </c>
      <c r="AY84" s="21">
        <f>IFERROR(AX84/U84,"")</f>
        <v>0.3333333333333333</v>
      </c>
      <c r="AZ84" s="20">
        <v>0.0</v>
      </c>
      <c r="BA84" s="21">
        <v>0.0</v>
      </c>
      <c r="BB84" s="20">
        <v>5.0</v>
      </c>
      <c r="BC84" s="21">
        <f>IFERROR(BB84/AX84,"")</f>
        <v>1.0</v>
      </c>
      <c r="BD84" s="24">
        <v>1.0</v>
      </c>
      <c r="BE84" s="21">
        <v>0.0</v>
      </c>
      <c r="BF84" s="24"/>
      <c r="BG84" s="21">
        <v>0.0</v>
      </c>
      <c r="BH84" s="21">
        <v>0.0</v>
      </c>
      <c r="BI84" s="21">
        <v>1.0</v>
      </c>
      <c r="BJ84" s="24"/>
      <c r="BK84" s="21"/>
      <c r="BL84" s="22">
        <v>0.0</v>
      </c>
      <c r="BM84" s="20">
        <v>0.0</v>
      </c>
      <c r="BN84" s="21" t="str">
        <f>IFERROR(BM84/BL84,"")</f>
        <v/>
      </c>
      <c r="BO84" s="24"/>
      <c r="BP84" s="21"/>
      <c r="BQ84" s="24"/>
      <c r="BR84" s="21"/>
      <c r="BS84" s="21"/>
      <c r="BT84" s="21"/>
      <c r="BU84" s="24"/>
      <c r="BV84" s="21"/>
      <c r="BW84" s="22">
        <v>24.0</v>
      </c>
      <c r="BX84" s="20">
        <v>2.0</v>
      </c>
      <c r="BY84" s="21">
        <f>IFERROR(BX84/BW84,"")</f>
        <v>0.08333333333333333</v>
      </c>
      <c r="BZ84" s="24">
        <v>2.0</v>
      </c>
      <c r="CA84" s="21">
        <v>0.0</v>
      </c>
      <c r="CB84" s="24"/>
      <c r="CC84" s="21">
        <v>0.0</v>
      </c>
      <c r="CD84" s="21">
        <v>0.0</v>
      </c>
      <c r="CE84" s="21">
        <v>0.75</v>
      </c>
      <c r="CF84" s="24"/>
      <c r="CG84" s="21"/>
    </row>
    <row r="85" spans="1:85" s="14" customFormat="1" ht="18.6" customHeight="1">
      <c r="A85" s="14"/>
      <c r="B85" s="20" t="s">
        <v>91</v>
      </c>
      <c r="C85" s="20" t="s">
        <v>153</v>
      </c>
      <c r="D85" s="21"/>
      <c r="E85" s="21">
        <f>IFERROR(H85/G85,"")</f>
        <v>0.07399103139013453</v>
      </c>
      <c r="F85" s="21">
        <f>IFERROR(I85/G85,"")</f>
        <v>0.0</v>
      </c>
      <c r="G85" s="20">
        <v>446.0</v>
      </c>
      <c r="H85" s="22">
        <v>33.0</v>
      </c>
      <c r="I85" s="22">
        <v>0.0</v>
      </c>
      <c r="J85" s="22">
        <v>2.0</v>
      </c>
      <c r="K85" s="34">
        <f>J85/H85</f>
        <v>0.06060606060606061</v>
      </c>
      <c r="L85" s="30">
        <f>IF(E85-D85&lt;0,0,CEILING((E85-D85)*G85,1))</f>
        <v>33.0</v>
      </c>
      <c r="M85" s="23">
        <v>1.0</v>
      </c>
      <c r="N85" s="23">
        <v>1.0</v>
      </c>
      <c r="O85" s="22"/>
      <c r="P85" s="22"/>
      <c r="Q85" s="22"/>
      <c r="R85" s="21"/>
      <c r="S85" s="23"/>
      <c r="T85" s="31"/>
      <c r="U85" s="22">
        <v>9.0</v>
      </c>
      <c r="V85" s="22">
        <v>0.0</v>
      </c>
      <c r="W85" s="22">
        <v>0.0</v>
      </c>
      <c r="X85" s="22">
        <v>0.0</v>
      </c>
      <c r="Y85" s="34">
        <v>0.0</v>
      </c>
      <c r="Z85" s="20">
        <v>7.0</v>
      </c>
      <c r="AA85" s="21">
        <f>IFERROR(Z85/U85,"")</f>
        <v>0.7777777777777778</v>
      </c>
      <c r="AB85" s="24">
        <v>1.0</v>
      </c>
      <c r="AC85" s="21">
        <v>0.0</v>
      </c>
      <c r="AD85" s="24"/>
      <c r="AE85" s="21">
        <v>0.0</v>
      </c>
      <c r="AF85" s="21">
        <v>0.0</v>
      </c>
      <c r="AG85" s="21">
        <v>0.7777777777777778</v>
      </c>
      <c r="AH85" s="24"/>
      <c r="AI85" s="21"/>
      <c r="AJ85" s="20">
        <v>7.0</v>
      </c>
      <c r="AK85" s="21">
        <f>IFERROR(AJ85/U85,"")</f>
        <v>0.7777777777777778</v>
      </c>
      <c r="AL85" s="20">
        <v>0.0</v>
      </c>
      <c r="AM85" s="21">
        <v>0.0</v>
      </c>
      <c r="AN85" s="20">
        <v>6.0</v>
      </c>
      <c r="AO85" s="21">
        <f>IFERROR(AN85/AJ85,"")</f>
        <v>0.8571428571428571</v>
      </c>
      <c r="AP85" s="24">
        <v>1.0</v>
      </c>
      <c r="AQ85" s="21">
        <v>0.0</v>
      </c>
      <c r="AR85" s="24"/>
      <c r="AS85" s="21">
        <v>0.0</v>
      </c>
      <c r="AT85" s="21">
        <v>0.0</v>
      </c>
      <c r="AU85" s="21">
        <v>0.7142857142857143</v>
      </c>
      <c r="AV85" s="24"/>
      <c r="AW85" s="21"/>
      <c r="AX85" s="20">
        <v>2.0</v>
      </c>
      <c r="AY85" s="21">
        <f>IFERROR(AX85/U85,"")</f>
        <v>0.2222222222222222</v>
      </c>
      <c r="AZ85" s="20">
        <v>0.0</v>
      </c>
      <c r="BA85" s="21">
        <v>0.0</v>
      </c>
      <c r="BB85" s="20">
        <v>1.0</v>
      </c>
      <c r="BC85" s="21">
        <f>IFERROR(BB85/AX85,"")</f>
        <v>0.5</v>
      </c>
      <c r="BD85" s="24">
        <v>1.0</v>
      </c>
      <c r="BE85" s="21">
        <v>0.0</v>
      </c>
      <c r="BF85" s="24"/>
      <c r="BG85" s="21">
        <v>0.0</v>
      </c>
      <c r="BH85" s="21">
        <v>0.0</v>
      </c>
      <c r="BI85" s="21">
        <v>1.0</v>
      </c>
      <c r="BJ85" s="24"/>
      <c r="BK85" s="21"/>
      <c r="BL85" s="22">
        <v>2.0</v>
      </c>
      <c r="BM85" s="20">
        <v>0.0</v>
      </c>
      <c r="BN85" s="21">
        <f>IFERROR(BM85/BL85,"")</f>
        <v>0.0</v>
      </c>
      <c r="BO85" s="24"/>
      <c r="BP85" s="21"/>
      <c r="BQ85" s="24"/>
      <c r="BR85" s="21">
        <v>0.0</v>
      </c>
      <c r="BS85" s="21">
        <v>0.0</v>
      </c>
      <c r="BT85" s="21">
        <v>0.0</v>
      </c>
      <c r="BU85" s="24"/>
      <c r="BV85" s="21"/>
      <c r="BW85" s="22">
        <v>23.0</v>
      </c>
      <c r="BX85" s="20">
        <v>3.0</v>
      </c>
      <c r="BY85" s="21">
        <f>IFERROR(BX85/BW85,"")</f>
        <v>0.13043478260869565</v>
      </c>
      <c r="BZ85" s="24">
        <v>1.0</v>
      </c>
      <c r="CA85" s="21">
        <v>0.0</v>
      </c>
      <c r="CB85" s="24"/>
      <c r="CC85" s="21">
        <v>0.0</v>
      </c>
      <c r="CD85" s="21">
        <v>0.0</v>
      </c>
      <c r="CE85" s="21">
        <v>0.8695652173913043</v>
      </c>
      <c r="CF85" s="24"/>
      <c r="CG85" s="21"/>
    </row>
    <row r="86" spans="1:85" s="14" customFormat="1" ht="18.6" customHeight="1">
      <c r="A86" s="14"/>
      <c r="B86" s="20"/>
      <c r="C86" s="20" t="s">
        <v>154</v>
      </c>
      <c r="D86" s="21"/>
      <c r="E86" s="21">
        <f>IFERROR(H86/G86,"")</f>
        <v>0.09456264775413711</v>
      </c>
      <c r="F86" s="21">
        <f>IFERROR(I86/G86,"")</f>
        <v>0.0</v>
      </c>
      <c r="G86" s="20">
        <v>423.0</v>
      </c>
      <c r="H86" s="22">
        <v>40.0</v>
      </c>
      <c r="I86" s="22">
        <v>0.0</v>
      </c>
      <c r="J86" s="22">
        <v>8.0</v>
      </c>
      <c r="K86" s="34">
        <f>J86/H86</f>
        <v>0.2</v>
      </c>
      <c r="L86" s="30">
        <f>IF(E86-D86&lt;0,0,CEILING((E86-D86)*G86,1))</f>
        <v>40.0</v>
      </c>
      <c r="M86" s="23">
        <v>6.0</v>
      </c>
      <c r="N86" s="23">
        <v>0.0</v>
      </c>
      <c r="O86" s="22"/>
      <c r="P86" s="22"/>
      <c r="Q86" s="22"/>
      <c r="R86" s="21"/>
      <c r="S86" s="23"/>
      <c r="T86" s="31"/>
      <c r="U86" s="22">
        <v>14.0</v>
      </c>
      <c r="V86" s="22">
        <v>0.0</v>
      </c>
      <c r="W86" s="22">
        <v>0.0</v>
      </c>
      <c r="X86" s="22">
        <v>1.0</v>
      </c>
      <c r="Y86" s="34">
        <v>0.07142857142857142</v>
      </c>
      <c r="Z86" s="20">
        <v>14.0</v>
      </c>
      <c r="AA86" s="21">
        <f>IFERROR(Z86/U86,"")</f>
        <v>1.0</v>
      </c>
      <c r="AB86" s="24">
        <v>1.0714285714285714</v>
      </c>
      <c r="AC86" s="21">
        <v>0.0</v>
      </c>
      <c r="AD86" s="24"/>
      <c r="AE86" s="21">
        <v>0.0</v>
      </c>
      <c r="AF86" s="21">
        <v>0.0</v>
      </c>
      <c r="AG86" s="21">
        <v>0.9285714285714286</v>
      </c>
      <c r="AH86" s="24"/>
      <c r="AI86" s="21"/>
      <c r="AJ86" s="20">
        <v>11.0</v>
      </c>
      <c r="AK86" s="21">
        <f>IFERROR(AJ86/U86,"")</f>
        <v>0.7857142857142857</v>
      </c>
      <c r="AL86" s="20">
        <v>1.0</v>
      </c>
      <c r="AM86" s="21">
        <v>0.09090909090909091</v>
      </c>
      <c r="AN86" s="20">
        <v>11.0</v>
      </c>
      <c r="AO86" s="21">
        <f>IFERROR(AN86/AJ86,"")</f>
        <v>1.0</v>
      </c>
      <c r="AP86" s="24">
        <v>1.0909090909090908</v>
      </c>
      <c r="AQ86" s="21">
        <v>0.0</v>
      </c>
      <c r="AR86" s="24"/>
      <c r="AS86" s="21">
        <v>0.0</v>
      </c>
      <c r="AT86" s="21">
        <v>0.0</v>
      </c>
      <c r="AU86" s="21">
        <v>1.0</v>
      </c>
      <c r="AV86" s="24"/>
      <c r="AW86" s="21"/>
      <c r="AX86" s="20">
        <v>3.0</v>
      </c>
      <c r="AY86" s="21">
        <f>IFERROR(AX86/U86,"")</f>
        <v>0.21428571428571427</v>
      </c>
      <c r="AZ86" s="20">
        <v>0.0</v>
      </c>
      <c r="BA86" s="21">
        <v>0.0</v>
      </c>
      <c r="BB86" s="20">
        <v>3.0</v>
      </c>
      <c r="BC86" s="21">
        <f>IFERROR(BB86/AX86,"")</f>
        <v>1.0</v>
      </c>
      <c r="BD86" s="24">
        <v>1.0</v>
      </c>
      <c r="BE86" s="21">
        <v>0.0</v>
      </c>
      <c r="BF86" s="24"/>
      <c r="BG86" s="21">
        <v>0.0</v>
      </c>
      <c r="BH86" s="21">
        <v>0.0</v>
      </c>
      <c r="BI86" s="21">
        <v>0.6666666666666666</v>
      </c>
      <c r="BJ86" s="24"/>
      <c r="BK86" s="21"/>
      <c r="BL86" s="22">
        <v>3.0</v>
      </c>
      <c r="BM86" s="20">
        <v>2.0</v>
      </c>
      <c r="BN86" s="21">
        <f>IFERROR(BM86/BL86,"")</f>
        <v>0.6666666666666666</v>
      </c>
      <c r="BO86" s="24">
        <v>1.0</v>
      </c>
      <c r="BP86" s="21">
        <v>0.0</v>
      </c>
      <c r="BQ86" s="24"/>
      <c r="BR86" s="21">
        <v>0.0</v>
      </c>
      <c r="BS86" s="21">
        <v>0.0</v>
      </c>
      <c r="BT86" s="21">
        <v>1.0</v>
      </c>
      <c r="BU86" s="24"/>
      <c r="BV86" s="21"/>
      <c r="BW86" s="22">
        <v>21.0</v>
      </c>
      <c r="BX86" s="20">
        <v>5.0</v>
      </c>
      <c r="BY86" s="21">
        <f>IFERROR(BX86/BW86,"")</f>
        <v>0.23809523809523808</v>
      </c>
      <c r="BZ86" s="24">
        <v>1.0</v>
      </c>
      <c r="CA86" s="21">
        <v>0.2</v>
      </c>
      <c r="CB86" s="24">
        <v>2.95</v>
      </c>
      <c r="CC86" s="21">
        <v>0.0</v>
      </c>
      <c r="CD86" s="21">
        <v>0.0</v>
      </c>
      <c r="CE86" s="21">
        <v>0.9047619047619048</v>
      </c>
      <c r="CF86" s="24"/>
      <c r="CG86" s="21"/>
    </row>
    <row r="87" spans="1:85" s="14" customFormat="1" ht="18.6" customHeight="1">
      <c r="A87" s="14"/>
      <c r="B87" s="20"/>
      <c r="C87" s="20" t="s">
        <v>155</v>
      </c>
      <c r="D87" s="21"/>
      <c r="E87" s="21">
        <f>IFERROR(H87/G87,"")</f>
        <v>0.09243697478991597</v>
      </c>
      <c r="F87" s="21">
        <f>IFERROR(I87/G87,"")</f>
        <v>0.0</v>
      </c>
      <c r="G87" s="20">
        <v>357.0</v>
      </c>
      <c r="H87" s="22">
        <v>33.0</v>
      </c>
      <c r="I87" s="22">
        <v>0.0</v>
      </c>
      <c r="J87" s="22">
        <v>3.0</v>
      </c>
      <c r="K87" s="34">
        <f>J87/H87</f>
        <v>0.09090909090909091</v>
      </c>
      <c r="L87" s="30">
        <f>IF(E87-D87&lt;0,0,CEILING((E87-D87)*G87,1))</f>
        <v>33.0</v>
      </c>
      <c r="M87" s="23">
        <v>0.0</v>
      </c>
      <c r="N87" s="23">
        <v>0.0</v>
      </c>
      <c r="O87" s="22"/>
      <c r="P87" s="22"/>
      <c r="Q87" s="22"/>
      <c r="R87" s="21"/>
      <c r="S87" s="23"/>
      <c r="T87" s="31"/>
      <c r="U87" s="22">
        <v>10.0</v>
      </c>
      <c r="V87" s="22">
        <v>0.0</v>
      </c>
      <c r="W87" s="22">
        <v>0.0</v>
      </c>
      <c r="X87" s="22">
        <v>0.0</v>
      </c>
      <c r="Y87" s="34">
        <v>0.0</v>
      </c>
      <c r="Z87" s="20">
        <v>7.0</v>
      </c>
      <c r="AA87" s="21">
        <f>IFERROR(Z87/U87,"")</f>
        <v>0.7</v>
      </c>
      <c r="AB87" s="24">
        <v>1.2857142857142858</v>
      </c>
      <c r="AC87" s="21">
        <v>0.0</v>
      </c>
      <c r="AD87" s="24"/>
      <c r="AE87" s="21">
        <v>0.0</v>
      </c>
      <c r="AF87" s="21">
        <v>0.0</v>
      </c>
      <c r="AG87" s="21">
        <v>0.8</v>
      </c>
      <c r="AH87" s="24"/>
      <c r="AI87" s="21"/>
      <c r="AJ87" s="20">
        <v>8.0</v>
      </c>
      <c r="AK87" s="21">
        <f>IFERROR(AJ87/U87,"")</f>
        <v>0.8</v>
      </c>
      <c r="AL87" s="20">
        <v>0.0</v>
      </c>
      <c r="AM87" s="21">
        <v>0.0</v>
      </c>
      <c r="AN87" s="20">
        <v>5.0</v>
      </c>
      <c r="AO87" s="21">
        <f>IFERROR(AN87/AJ87,"")</f>
        <v>0.625</v>
      </c>
      <c r="AP87" s="24">
        <v>1.0</v>
      </c>
      <c r="AQ87" s="21">
        <v>0.0</v>
      </c>
      <c r="AR87" s="24"/>
      <c r="AS87" s="21">
        <v>0.0</v>
      </c>
      <c r="AT87" s="21">
        <v>0.0</v>
      </c>
      <c r="AU87" s="21">
        <v>0.875</v>
      </c>
      <c r="AV87" s="24"/>
      <c r="AW87" s="21"/>
      <c r="AX87" s="20">
        <v>2.0</v>
      </c>
      <c r="AY87" s="21">
        <f>IFERROR(AX87/U87,"")</f>
        <v>0.2</v>
      </c>
      <c r="AZ87" s="20">
        <v>0.0</v>
      </c>
      <c r="BA87" s="21">
        <v>0.0</v>
      </c>
      <c r="BB87" s="20">
        <v>2.0</v>
      </c>
      <c r="BC87" s="21">
        <f>IFERROR(BB87/AX87,"")</f>
        <v>1.0</v>
      </c>
      <c r="BD87" s="24">
        <v>2.0</v>
      </c>
      <c r="BE87" s="21">
        <v>0.0</v>
      </c>
      <c r="BF87" s="24"/>
      <c r="BG87" s="21">
        <v>0.0</v>
      </c>
      <c r="BH87" s="21">
        <v>0.0</v>
      </c>
      <c r="BI87" s="21">
        <v>0.5</v>
      </c>
      <c r="BJ87" s="24"/>
      <c r="BK87" s="21"/>
      <c r="BL87" s="22">
        <v>1.0</v>
      </c>
      <c r="BM87" s="20">
        <v>0.0</v>
      </c>
      <c r="BN87" s="21">
        <f>IFERROR(BM87/BL87,"")</f>
        <v>0.0</v>
      </c>
      <c r="BO87" s="24"/>
      <c r="BP87" s="21"/>
      <c r="BQ87" s="24"/>
      <c r="BR87" s="21">
        <v>0.0</v>
      </c>
      <c r="BS87" s="21">
        <v>0.0</v>
      </c>
      <c r="BT87" s="21">
        <v>1.0</v>
      </c>
      <c r="BU87" s="24"/>
      <c r="BV87" s="21"/>
      <c r="BW87" s="22">
        <v>13.0</v>
      </c>
      <c r="BX87" s="20">
        <v>5.0</v>
      </c>
      <c r="BY87" s="21">
        <f>IFERROR(BX87/BW87,"")</f>
        <v>0.38461538461538464</v>
      </c>
      <c r="BZ87" s="24">
        <v>3.0</v>
      </c>
      <c r="CA87" s="21">
        <v>0.0</v>
      </c>
      <c r="CB87" s="24"/>
      <c r="CC87" s="21">
        <v>0.0</v>
      </c>
      <c r="CD87" s="21">
        <v>0.0</v>
      </c>
      <c r="CE87" s="21">
        <v>0.7692307692307693</v>
      </c>
      <c r="CF87" s="24"/>
      <c r="CG87" s="21"/>
    </row>
    <row r="88" spans="1:85" s="14" customFormat="1" ht="18.6" customHeight="1">
      <c r="A88" s="14"/>
      <c r="B88" s="20"/>
      <c r="C88" s="20" t="s">
        <v>156</v>
      </c>
      <c r="D88" s="21"/>
      <c r="E88" s="21">
        <f>IFERROR(H88/G88,"")</f>
        <v>0.09166666666666666</v>
      </c>
      <c r="F88" s="21">
        <f>IFERROR(I88/G88,"")</f>
        <v>0.004166666666666667</v>
      </c>
      <c r="G88" s="20">
        <v>240.0</v>
      </c>
      <c r="H88" s="22">
        <v>22.0</v>
      </c>
      <c r="I88" s="22">
        <v>1.0</v>
      </c>
      <c r="J88" s="22">
        <v>5.0</v>
      </c>
      <c r="K88" s="34">
        <f>J88/H88</f>
        <v>0.22727272727272727</v>
      </c>
      <c r="L88" s="30">
        <f>IF(E88-D88&lt;0,0,CEILING((E88-D88)*G88,1))</f>
        <v>22.0</v>
      </c>
      <c r="M88" s="23">
        <v>2.0</v>
      </c>
      <c r="N88" s="23">
        <v>0.0</v>
      </c>
      <c r="O88" s="22"/>
      <c r="P88" s="22"/>
      <c r="Q88" s="22"/>
      <c r="R88" s="21"/>
      <c r="S88" s="23"/>
      <c r="T88" s="31"/>
      <c r="U88" s="22">
        <v>6.0</v>
      </c>
      <c r="V88" s="22">
        <v>0.0</v>
      </c>
      <c r="W88" s="22">
        <v>0.0</v>
      </c>
      <c r="X88" s="22">
        <v>0.0</v>
      </c>
      <c r="Y88" s="34">
        <v>0.0</v>
      </c>
      <c r="Z88" s="20">
        <v>4.0</v>
      </c>
      <c r="AA88" s="21">
        <f>IFERROR(Z88/U88,"")</f>
        <v>0.6666666666666666</v>
      </c>
      <c r="AB88" s="24">
        <v>1.75</v>
      </c>
      <c r="AC88" s="21">
        <v>0.0</v>
      </c>
      <c r="AD88" s="24"/>
      <c r="AE88" s="21">
        <v>0.0</v>
      </c>
      <c r="AF88" s="21">
        <v>0.0</v>
      </c>
      <c r="AG88" s="21">
        <v>1.0</v>
      </c>
      <c r="AH88" s="24"/>
      <c r="AI88" s="21"/>
      <c r="AJ88" s="20">
        <v>5.0</v>
      </c>
      <c r="AK88" s="21">
        <f>IFERROR(AJ88/U88,"")</f>
        <v>0.8333333333333334</v>
      </c>
      <c r="AL88" s="20">
        <v>0.0</v>
      </c>
      <c r="AM88" s="21">
        <v>0.0</v>
      </c>
      <c r="AN88" s="20">
        <v>4.0</v>
      </c>
      <c r="AO88" s="21">
        <f>IFERROR(AN88/AJ88,"")</f>
        <v>0.8</v>
      </c>
      <c r="AP88" s="24">
        <v>1.75</v>
      </c>
      <c r="AQ88" s="21">
        <v>0.0</v>
      </c>
      <c r="AR88" s="24"/>
      <c r="AS88" s="21">
        <v>0.0</v>
      </c>
      <c r="AT88" s="21">
        <v>0.0</v>
      </c>
      <c r="AU88" s="21">
        <v>1.0</v>
      </c>
      <c r="AV88" s="24"/>
      <c r="AW88" s="21"/>
      <c r="AX88" s="20">
        <v>1.0</v>
      </c>
      <c r="AY88" s="21">
        <f>IFERROR(AX88/U88,"")</f>
        <v>0.16666666666666666</v>
      </c>
      <c r="AZ88" s="20">
        <v>0.0</v>
      </c>
      <c r="BA88" s="21">
        <v>0.0</v>
      </c>
      <c r="BB88" s="20">
        <v>0.0</v>
      </c>
      <c r="BC88" s="21">
        <f>IFERROR(BB88/AX88,"")</f>
        <v>0.0</v>
      </c>
      <c r="BD88" s="24"/>
      <c r="BE88" s="21"/>
      <c r="BF88" s="24"/>
      <c r="BG88" s="21">
        <v>0.0</v>
      </c>
      <c r="BH88" s="21">
        <v>0.0</v>
      </c>
      <c r="BI88" s="21">
        <v>1.0</v>
      </c>
      <c r="BJ88" s="24"/>
      <c r="BK88" s="21"/>
      <c r="BL88" s="22">
        <v>1.0</v>
      </c>
      <c r="BM88" s="20">
        <v>0.0</v>
      </c>
      <c r="BN88" s="21">
        <f>IFERROR(BM88/BL88,"")</f>
        <v>0.0</v>
      </c>
      <c r="BO88" s="24"/>
      <c r="BP88" s="21"/>
      <c r="BQ88" s="24"/>
      <c r="BR88" s="21">
        <v>0.0</v>
      </c>
      <c r="BS88" s="21">
        <v>0.0</v>
      </c>
      <c r="BT88" s="21">
        <v>1.0</v>
      </c>
      <c r="BU88" s="24"/>
      <c r="BV88" s="21"/>
      <c r="BW88" s="22">
        <v>6.0</v>
      </c>
      <c r="BX88" s="20">
        <v>2.0</v>
      </c>
      <c r="BY88" s="21">
        <f>IFERROR(BX88/BW88,"")</f>
        <v>0.3333333333333333</v>
      </c>
      <c r="BZ88" s="24">
        <v>1.0</v>
      </c>
      <c r="CA88" s="21">
        <v>1.0</v>
      </c>
      <c r="CB88" s="24">
        <v>8.8</v>
      </c>
      <c r="CC88" s="21">
        <v>0.0</v>
      </c>
      <c r="CD88" s="21">
        <v>0.0</v>
      </c>
      <c r="CE88" s="21">
        <v>1.0</v>
      </c>
      <c r="CF88" s="24"/>
      <c r="CG88" s="21"/>
    </row>
    <row r="89" spans="1:85" s="14" customFormat="1" ht="18.6" customHeight="1">
      <c r="A89" s="14"/>
      <c r="B89" s="20"/>
      <c r="C89" s="20" t="s">
        <v>157</v>
      </c>
      <c r="D89" s="21"/>
      <c r="E89" s="21">
        <f>IFERROR(H89/G89,"")</f>
        <v>0.0413625304136253</v>
      </c>
      <c r="F89" s="21">
        <f>IFERROR(I89/G89,"")</f>
        <v>0.0</v>
      </c>
      <c r="G89" s="20">
        <v>411.0</v>
      </c>
      <c r="H89" s="22">
        <v>17.0</v>
      </c>
      <c r="I89" s="22">
        <v>0.0</v>
      </c>
      <c r="J89" s="22">
        <v>0.0</v>
      </c>
      <c r="K89" s="34">
        <f>J89/H89</f>
        <v>0.0</v>
      </c>
      <c r="L89" s="30">
        <f>IF(E89-D89&lt;0,0,CEILING((E89-D89)*G89,1))</f>
        <v>17.0</v>
      </c>
      <c r="M89" s="23">
        <v>0.0</v>
      </c>
      <c r="N89" s="23">
        <v>0.0</v>
      </c>
      <c r="O89" s="22"/>
      <c r="P89" s="22"/>
      <c r="Q89" s="22"/>
      <c r="R89" s="21"/>
      <c r="S89" s="23"/>
      <c r="T89" s="31"/>
      <c r="U89" s="22">
        <v>10.0</v>
      </c>
      <c r="V89" s="22">
        <v>0.0</v>
      </c>
      <c r="W89" s="22">
        <v>0.0</v>
      </c>
      <c r="X89" s="22">
        <v>0.0</v>
      </c>
      <c r="Y89" s="34">
        <v>0.0</v>
      </c>
      <c r="Z89" s="20">
        <v>9.0</v>
      </c>
      <c r="AA89" s="21">
        <f>IFERROR(Z89/U89,"")</f>
        <v>0.9</v>
      </c>
      <c r="AB89" s="24">
        <v>1.3333333333333333</v>
      </c>
      <c r="AC89" s="21">
        <v>0.0</v>
      </c>
      <c r="AD89" s="24"/>
      <c r="AE89" s="21">
        <v>0.0</v>
      </c>
      <c r="AF89" s="21">
        <v>0.0</v>
      </c>
      <c r="AG89" s="21">
        <v>1.0</v>
      </c>
      <c r="AH89" s="24"/>
      <c r="AI89" s="21"/>
      <c r="AJ89" s="20">
        <v>8.0</v>
      </c>
      <c r="AK89" s="21">
        <f>IFERROR(AJ89/U89,"")</f>
        <v>0.8</v>
      </c>
      <c r="AL89" s="20">
        <v>0.0</v>
      </c>
      <c r="AM89" s="21">
        <v>0.0</v>
      </c>
      <c r="AN89" s="20">
        <v>7.0</v>
      </c>
      <c r="AO89" s="21">
        <f>IFERROR(AN89/AJ89,"")</f>
        <v>0.875</v>
      </c>
      <c r="AP89" s="24">
        <v>1.4285714285714286</v>
      </c>
      <c r="AQ89" s="21">
        <v>0.0</v>
      </c>
      <c r="AR89" s="24"/>
      <c r="AS89" s="21">
        <v>0.0</v>
      </c>
      <c r="AT89" s="21">
        <v>0.0</v>
      </c>
      <c r="AU89" s="21">
        <v>1.0</v>
      </c>
      <c r="AV89" s="24"/>
      <c r="AW89" s="21"/>
      <c r="AX89" s="20">
        <v>2.0</v>
      </c>
      <c r="AY89" s="21">
        <f>IFERROR(AX89/U89,"")</f>
        <v>0.2</v>
      </c>
      <c r="AZ89" s="20">
        <v>0.0</v>
      </c>
      <c r="BA89" s="21">
        <v>0.0</v>
      </c>
      <c r="BB89" s="20">
        <v>2.0</v>
      </c>
      <c r="BC89" s="21">
        <f>IFERROR(BB89/AX89,"")</f>
        <v>1.0</v>
      </c>
      <c r="BD89" s="24">
        <v>1.0</v>
      </c>
      <c r="BE89" s="21">
        <v>0.0</v>
      </c>
      <c r="BF89" s="24"/>
      <c r="BG89" s="21">
        <v>0.0</v>
      </c>
      <c r="BH89" s="21">
        <v>0.0</v>
      </c>
      <c r="BI89" s="21">
        <v>1.0</v>
      </c>
      <c r="BJ89" s="24"/>
      <c r="BK89" s="21"/>
      <c r="BL89" s="22">
        <v>1.0</v>
      </c>
      <c r="BM89" s="20">
        <v>0.0</v>
      </c>
      <c r="BN89" s="21">
        <f>IFERROR(BM89/BL89,"")</f>
        <v>0.0</v>
      </c>
      <c r="BO89" s="24"/>
      <c r="BP89" s="21"/>
      <c r="BQ89" s="24"/>
      <c r="BR89" s="21">
        <v>0.0</v>
      </c>
      <c r="BS89" s="21">
        <v>0.0</v>
      </c>
      <c r="BT89" s="21">
        <v>1.0</v>
      </c>
      <c r="BU89" s="24"/>
      <c r="BV89" s="21"/>
      <c r="BW89" s="22">
        <v>23.0</v>
      </c>
      <c r="BX89" s="20">
        <v>3.0</v>
      </c>
      <c r="BY89" s="21">
        <f>IFERROR(BX89/BW89,"")</f>
        <v>0.13043478260869565</v>
      </c>
      <c r="BZ89" s="24">
        <v>1.0</v>
      </c>
      <c r="CA89" s="21">
        <v>0.0</v>
      </c>
      <c r="CB89" s="24"/>
      <c r="CC89" s="21">
        <v>0.0</v>
      </c>
      <c r="CD89" s="21">
        <v>0.0</v>
      </c>
      <c r="CE89" s="21">
        <v>0.8260869565217391</v>
      </c>
      <c r="CF89" s="24"/>
      <c r="CG89" s="21"/>
    </row>
    <row r="90" spans="1:85" s="14" customFormat="1" ht="18.6" customHeight="1">
      <c r="A90" s="14"/>
      <c r="B90" s="20"/>
      <c r="C90" s="20" t="s">
        <v>158</v>
      </c>
      <c r="D90" s="21"/>
      <c r="E90" s="21">
        <f>IFERROR(H90/G90,"")</f>
        <v>0.082687338501292</v>
      </c>
      <c r="F90" s="21">
        <f>IFERROR(I90/G90,"")</f>
        <v>0.0</v>
      </c>
      <c r="G90" s="20">
        <v>387.0</v>
      </c>
      <c r="H90" s="22">
        <v>32.0</v>
      </c>
      <c r="I90" s="22">
        <v>0.0</v>
      </c>
      <c r="J90" s="22">
        <v>7.0</v>
      </c>
      <c r="K90" s="34">
        <f>J90/H90</f>
        <v>0.21875</v>
      </c>
      <c r="L90" s="30">
        <f>IF(E90-D90&lt;0,0,CEILING((E90-D90)*G90,1))</f>
        <v>32.0</v>
      </c>
      <c r="M90" s="23">
        <v>2.0</v>
      </c>
      <c r="N90" s="23">
        <v>0.0</v>
      </c>
      <c r="O90" s="22"/>
      <c r="P90" s="22"/>
      <c r="Q90" s="22"/>
      <c r="R90" s="21"/>
      <c r="S90" s="23"/>
      <c r="T90" s="31"/>
      <c r="U90" s="22">
        <v>7.0</v>
      </c>
      <c r="V90" s="22">
        <v>0.0</v>
      </c>
      <c r="W90" s="22">
        <v>0.0</v>
      </c>
      <c r="X90" s="22">
        <v>1.0</v>
      </c>
      <c r="Y90" s="34">
        <v>0.14285714285714285</v>
      </c>
      <c r="Z90" s="20">
        <v>7.0</v>
      </c>
      <c r="AA90" s="21">
        <f>IFERROR(Z90/U90,"")</f>
        <v>1.0</v>
      </c>
      <c r="AB90" s="24">
        <v>1.7142857142857142</v>
      </c>
      <c r="AC90" s="21">
        <v>0.08333333333333333</v>
      </c>
      <c r="AD90" s="24">
        <v>5.6</v>
      </c>
      <c r="AE90" s="21">
        <v>0.0</v>
      </c>
      <c r="AF90" s="21">
        <v>0.0</v>
      </c>
      <c r="AG90" s="21">
        <v>1.0</v>
      </c>
      <c r="AH90" s="24"/>
      <c r="AI90" s="21"/>
      <c r="AJ90" s="20">
        <v>6.0</v>
      </c>
      <c r="AK90" s="21">
        <f>IFERROR(AJ90/U90,"")</f>
        <v>0.8571428571428571</v>
      </c>
      <c r="AL90" s="20">
        <v>1.0</v>
      </c>
      <c r="AM90" s="21">
        <v>0.16666666666666666</v>
      </c>
      <c r="AN90" s="20">
        <v>6.0</v>
      </c>
      <c r="AO90" s="21">
        <f>IFERROR(AN90/AJ90,"")</f>
        <v>1.0</v>
      </c>
      <c r="AP90" s="24">
        <v>1.6666666666666667</v>
      </c>
      <c r="AQ90" s="21">
        <v>0.1</v>
      </c>
      <c r="AR90" s="24">
        <v>5.6</v>
      </c>
      <c r="AS90" s="21">
        <v>0.0</v>
      </c>
      <c r="AT90" s="21">
        <v>0.0</v>
      </c>
      <c r="AU90" s="21">
        <v>1.0</v>
      </c>
      <c r="AV90" s="24"/>
      <c r="AW90" s="21"/>
      <c r="AX90" s="20">
        <v>1.0</v>
      </c>
      <c r="AY90" s="21">
        <f>IFERROR(AX90/U90,"")</f>
        <v>0.14285714285714285</v>
      </c>
      <c r="AZ90" s="20">
        <v>0.0</v>
      </c>
      <c r="BA90" s="21">
        <v>0.0</v>
      </c>
      <c r="BB90" s="20">
        <v>1.0</v>
      </c>
      <c r="BC90" s="21">
        <f>IFERROR(BB90/AX90,"")</f>
        <v>1.0</v>
      </c>
      <c r="BD90" s="24">
        <v>2.0</v>
      </c>
      <c r="BE90" s="21">
        <v>0.0</v>
      </c>
      <c r="BF90" s="24"/>
      <c r="BG90" s="21">
        <v>0.0</v>
      </c>
      <c r="BH90" s="21">
        <v>0.0</v>
      </c>
      <c r="BI90" s="21">
        <v>1.0</v>
      </c>
      <c r="BJ90" s="24"/>
      <c r="BK90" s="21"/>
      <c r="BL90" s="22">
        <v>1.0</v>
      </c>
      <c r="BM90" s="20">
        <v>0.0</v>
      </c>
      <c r="BN90" s="21">
        <f>IFERROR(BM90/BL90,"")</f>
        <v>0.0</v>
      </c>
      <c r="BO90" s="24"/>
      <c r="BP90" s="21"/>
      <c r="BQ90" s="24"/>
      <c r="BR90" s="21">
        <v>0.0</v>
      </c>
      <c r="BS90" s="21">
        <v>0.0</v>
      </c>
      <c r="BT90" s="21">
        <v>1.0</v>
      </c>
      <c r="BU90" s="24"/>
      <c r="BV90" s="21"/>
      <c r="BW90" s="22">
        <v>18.0</v>
      </c>
      <c r="BX90" s="20">
        <v>6.0</v>
      </c>
      <c r="BY90" s="21">
        <f>IFERROR(BX90/BW90,"")</f>
        <v>0.3333333333333333</v>
      </c>
      <c r="BZ90" s="24">
        <v>1.1666666666666667</v>
      </c>
      <c r="CA90" s="21">
        <v>0.0</v>
      </c>
      <c r="CB90" s="24"/>
      <c r="CC90" s="21">
        <v>0.0</v>
      </c>
      <c r="CD90" s="21">
        <v>0.0</v>
      </c>
      <c r="CE90" s="21">
        <v>0.8333333333333334</v>
      </c>
      <c r="CF90" s="24"/>
      <c r="CG90" s="21"/>
    </row>
    <row r="91" spans="1:85" s="14" customFormat="1" ht="18.6" customHeight="1">
      <c r="A91" s="14"/>
      <c r="B91" s="20"/>
      <c r="C91" s="20" t="s">
        <v>159</v>
      </c>
      <c r="D91" s="21"/>
      <c r="E91" s="21">
        <f>IFERROR(H91/G91,"")</f>
        <v>0.10060975609756098</v>
      </c>
      <c r="F91" s="21">
        <f>IFERROR(I91/G91,"")</f>
        <v>0.0</v>
      </c>
      <c r="G91" s="20">
        <v>328.0</v>
      </c>
      <c r="H91" s="22">
        <v>33.0</v>
      </c>
      <c r="I91" s="22">
        <v>0.0</v>
      </c>
      <c r="J91" s="22">
        <v>2.0</v>
      </c>
      <c r="K91" s="34">
        <f>J91/H91</f>
        <v>0.06060606060606061</v>
      </c>
      <c r="L91" s="30">
        <f>IF(E91-D91&lt;0,0,CEILING((E91-D91)*G91,1))</f>
        <v>33.0</v>
      </c>
      <c r="M91" s="23">
        <v>1.0</v>
      </c>
      <c r="N91" s="23">
        <v>0.0</v>
      </c>
      <c r="O91" s="22"/>
      <c r="P91" s="22"/>
      <c r="Q91" s="22"/>
      <c r="R91" s="21"/>
      <c r="S91" s="23"/>
      <c r="T91" s="31"/>
      <c r="U91" s="22">
        <v>9.0</v>
      </c>
      <c r="V91" s="22">
        <v>0.0</v>
      </c>
      <c r="W91" s="22">
        <v>0.0</v>
      </c>
      <c r="X91" s="22">
        <v>0.0</v>
      </c>
      <c r="Y91" s="34">
        <v>0.0</v>
      </c>
      <c r="Z91" s="20">
        <v>3.0</v>
      </c>
      <c r="AA91" s="21">
        <f>IFERROR(Z91/U91,"")</f>
        <v>0.3333333333333333</v>
      </c>
      <c r="AB91" s="24">
        <v>2.0</v>
      </c>
      <c r="AC91" s="21">
        <v>0.0</v>
      </c>
      <c r="AD91" s="24"/>
      <c r="AE91" s="21">
        <v>0.0</v>
      </c>
      <c r="AF91" s="21">
        <v>0.0</v>
      </c>
      <c r="AG91" s="21">
        <v>1.0</v>
      </c>
      <c r="AH91" s="24"/>
      <c r="AI91" s="21"/>
      <c r="AJ91" s="20">
        <v>7.0</v>
      </c>
      <c r="AK91" s="21">
        <f>IFERROR(AJ91/U91,"")</f>
        <v>0.7777777777777778</v>
      </c>
      <c r="AL91" s="20">
        <v>0.0</v>
      </c>
      <c r="AM91" s="21">
        <v>0.0</v>
      </c>
      <c r="AN91" s="20">
        <v>2.0</v>
      </c>
      <c r="AO91" s="21">
        <f>IFERROR(AN91/AJ91,"")</f>
        <v>0.2857142857142857</v>
      </c>
      <c r="AP91" s="24">
        <v>2.0</v>
      </c>
      <c r="AQ91" s="21">
        <v>0.0</v>
      </c>
      <c r="AR91" s="24"/>
      <c r="AS91" s="21">
        <v>0.0</v>
      </c>
      <c r="AT91" s="21">
        <v>0.0</v>
      </c>
      <c r="AU91" s="21">
        <v>1.0</v>
      </c>
      <c r="AV91" s="24"/>
      <c r="AW91" s="21"/>
      <c r="AX91" s="20">
        <v>2.0</v>
      </c>
      <c r="AY91" s="21">
        <f>IFERROR(AX91/U91,"")</f>
        <v>0.2222222222222222</v>
      </c>
      <c r="AZ91" s="20">
        <v>0.0</v>
      </c>
      <c r="BA91" s="21">
        <v>0.0</v>
      </c>
      <c r="BB91" s="20">
        <v>1.0</v>
      </c>
      <c r="BC91" s="21">
        <f>IFERROR(BB91/AX91,"")</f>
        <v>0.5</v>
      </c>
      <c r="BD91" s="24">
        <v>2.0</v>
      </c>
      <c r="BE91" s="21">
        <v>0.0</v>
      </c>
      <c r="BF91" s="24"/>
      <c r="BG91" s="21">
        <v>0.0</v>
      </c>
      <c r="BH91" s="21">
        <v>0.0</v>
      </c>
      <c r="BI91" s="21">
        <v>1.0</v>
      </c>
      <c r="BJ91" s="24"/>
      <c r="BK91" s="21"/>
      <c r="BL91" s="22">
        <v>0.0</v>
      </c>
      <c r="BM91" s="20">
        <v>0.0</v>
      </c>
      <c r="BN91" s="21" t="str">
        <f>IFERROR(BM91/BL91,"")</f>
        <v/>
      </c>
      <c r="BO91" s="24"/>
      <c r="BP91" s="21"/>
      <c r="BQ91" s="24"/>
      <c r="BR91" s="21"/>
      <c r="BS91" s="21"/>
      <c r="BT91" s="21"/>
      <c r="BU91" s="24"/>
      <c r="BV91" s="21"/>
      <c r="BW91" s="22">
        <v>25.0</v>
      </c>
      <c r="BX91" s="20">
        <v>4.0</v>
      </c>
      <c r="BY91" s="21">
        <f>IFERROR(BX91/BW91,"")</f>
        <v>0.16</v>
      </c>
      <c r="BZ91" s="24">
        <v>2.25</v>
      </c>
      <c r="CA91" s="21">
        <v>0.1111111111111111</v>
      </c>
      <c r="CB91" s="24">
        <v>8.983333333333333</v>
      </c>
      <c r="CC91" s="21">
        <v>0.0</v>
      </c>
      <c r="CD91" s="21">
        <v>0.0</v>
      </c>
      <c r="CE91" s="21">
        <v>0.92</v>
      </c>
      <c r="CF91" s="24"/>
      <c r="CG91" s="21"/>
    </row>
    <row r="92" spans="1:85" s="14" customFormat="1" ht="18.6" customHeight="1">
      <c r="A92" s="14"/>
      <c r="B92" s="20"/>
      <c r="C92" s="20" t="s">
        <v>160</v>
      </c>
      <c r="D92" s="21"/>
      <c r="E92" s="21">
        <f>IFERROR(H92/G92,"")</f>
        <v>0.06230031948881789</v>
      </c>
      <c r="F92" s="21">
        <f>IFERROR(I92/G92,"")</f>
        <v>0.0</v>
      </c>
      <c r="G92" s="20">
        <v>626.0</v>
      </c>
      <c r="H92" s="22">
        <v>39.0</v>
      </c>
      <c r="I92" s="22">
        <v>0.0</v>
      </c>
      <c r="J92" s="22">
        <v>5.0</v>
      </c>
      <c r="K92" s="34">
        <f>J92/H92</f>
        <v>0.1282051282051282</v>
      </c>
      <c r="L92" s="30">
        <f>IF(E92-D92&lt;0,0,CEILING((E92-D92)*G92,1))</f>
        <v>39.0</v>
      </c>
      <c r="M92" s="23">
        <v>2.0</v>
      </c>
      <c r="N92" s="23">
        <v>1.0</v>
      </c>
      <c r="O92" s="22"/>
      <c r="P92" s="22"/>
      <c r="Q92" s="22"/>
      <c r="R92" s="21"/>
      <c r="S92" s="23"/>
      <c r="T92" s="31"/>
      <c r="U92" s="22">
        <v>10.0</v>
      </c>
      <c r="V92" s="22">
        <v>0.0</v>
      </c>
      <c r="W92" s="22">
        <v>0.0</v>
      </c>
      <c r="X92" s="22">
        <v>0.0</v>
      </c>
      <c r="Y92" s="34">
        <v>0.0</v>
      </c>
      <c r="Z92" s="20">
        <v>10.0</v>
      </c>
      <c r="AA92" s="21">
        <f>IFERROR(Z92/U92,"")</f>
        <v>1.0</v>
      </c>
      <c r="AB92" s="24">
        <v>1.5</v>
      </c>
      <c r="AC92" s="21">
        <v>0.06666666666666667</v>
      </c>
      <c r="AD92" s="24">
        <v>4.733333333333333</v>
      </c>
      <c r="AE92" s="21">
        <v>0.0</v>
      </c>
      <c r="AF92" s="21">
        <v>0.0</v>
      </c>
      <c r="AG92" s="21">
        <v>0.8</v>
      </c>
      <c r="AH92" s="24"/>
      <c r="AI92" s="21"/>
      <c r="AJ92" s="20">
        <v>9.0</v>
      </c>
      <c r="AK92" s="21">
        <f>IFERROR(AJ92/U92,"")</f>
        <v>0.9</v>
      </c>
      <c r="AL92" s="20">
        <v>0.0</v>
      </c>
      <c r="AM92" s="21">
        <v>0.0</v>
      </c>
      <c r="AN92" s="20">
        <v>9.0</v>
      </c>
      <c r="AO92" s="21">
        <f>IFERROR(AN92/AJ92,"")</f>
        <v>1.0</v>
      </c>
      <c r="AP92" s="24">
        <v>1.5555555555555556</v>
      </c>
      <c r="AQ92" s="21">
        <v>0.07142857142857142</v>
      </c>
      <c r="AR92" s="24">
        <v>4.733333333333333</v>
      </c>
      <c r="AS92" s="21">
        <v>0.0</v>
      </c>
      <c r="AT92" s="21">
        <v>0.0</v>
      </c>
      <c r="AU92" s="21">
        <v>0.7777777777777778</v>
      </c>
      <c r="AV92" s="24"/>
      <c r="AW92" s="21"/>
      <c r="AX92" s="20">
        <v>1.0</v>
      </c>
      <c r="AY92" s="21">
        <f>IFERROR(AX92/U92,"")</f>
        <v>0.1</v>
      </c>
      <c r="AZ92" s="20">
        <v>0.0</v>
      </c>
      <c r="BA92" s="21">
        <v>0.0</v>
      </c>
      <c r="BB92" s="20">
        <v>1.0</v>
      </c>
      <c r="BC92" s="21">
        <f>IFERROR(BB92/AX92,"")</f>
        <v>1.0</v>
      </c>
      <c r="BD92" s="24">
        <v>1.0</v>
      </c>
      <c r="BE92" s="21">
        <v>0.0</v>
      </c>
      <c r="BF92" s="24"/>
      <c r="BG92" s="21">
        <v>0.0</v>
      </c>
      <c r="BH92" s="21">
        <v>0.0</v>
      </c>
      <c r="BI92" s="21">
        <v>1.0</v>
      </c>
      <c r="BJ92" s="24"/>
      <c r="BK92" s="21"/>
      <c r="BL92" s="22">
        <v>0.0</v>
      </c>
      <c r="BM92" s="20">
        <v>0.0</v>
      </c>
      <c r="BN92" s="21" t="str">
        <f>IFERROR(BM92/BL92,"")</f>
        <v/>
      </c>
      <c r="BO92" s="24"/>
      <c r="BP92" s="21"/>
      <c r="BQ92" s="24"/>
      <c r="BR92" s="21"/>
      <c r="BS92" s="21"/>
      <c r="BT92" s="21"/>
      <c r="BU92" s="24"/>
      <c r="BV92" s="21"/>
      <c r="BW92" s="22">
        <v>22.0</v>
      </c>
      <c r="BX92" s="20">
        <v>3.0</v>
      </c>
      <c r="BY92" s="21">
        <f>IFERROR(BX92/BW92,"")</f>
        <v>0.13636363636363635</v>
      </c>
      <c r="BZ92" s="24">
        <v>3.3333333333333335</v>
      </c>
      <c r="CA92" s="21">
        <v>0.0</v>
      </c>
      <c r="CB92" s="24"/>
      <c r="CC92" s="21">
        <v>0.0</v>
      </c>
      <c r="CD92" s="21">
        <v>0.0</v>
      </c>
      <c r="CE92" s="21">
        <v>1.0</v>
      </c>
      <c r="CF92" s="24"/>
      <c r="CG92" s="21"/>
    </row>
    <row r="93" spans="1:85" s="14" customFormat="1" ht="18.6" customHeight="1">
      <c r="A93" s="14"/>
      <c r="B93" s="20"/>
      <c r="C93" s="20" t="s">
        <v>161</v>
      </c>
      <c r="D93" s="21"/>
      <c r="E93" s="21">
        <f>IFERROR(H93/G93,"")</f>
        <v>0.09907834101382489</v>
      </c>
      <c r="F93" s="21">
        <f>IFERROR(I93/G93,"")</f>
        <v>0.002304147465437788</v>
      </c>
      <c r="G93" s="20">
        <v>434.0</v>
      </c>
      <c r="H93" s="22">
        <v>43.0</v>
      </c>
      <c r="I93" s="22">
        <v>1.0</v>
      </c>
      <c r="J93" s="22">
        <v>6.0</v>
      </c>
      <c r="K93" s="34">
        <f>J93/H93</f>
        <v>0.13953488372093023</v>
      </c>
      <c r="L93" s="30">
        <f>IF(E93-D93&lt;0,0,CEILING((E93-D93)*G93,1))</f>
        <v>43.0</v>
      </c>
      <c r="M93" s="23">
        <v>2.0</v>
      </c>
      <c r="N93" s="23">
        <v>0.0</v>
      </c>
      <c r="O93" s="22"/>
      <c r="P93" s="22"/>
      <c r="Q93" s="22"/>
      <c r="R93" s="21"/>
      <c r="S93" s="23"/>
      <c r="T93" s="31"/>
      <c r="U93" s="22">
        <v>10.0</v>
      </c>
      <c r="V93" s="22">
        <v>0.0</v>
      </c>
      <c r="W93" s="22">
        <v>0.0</v>
      </c>
      <c r="X93" s="22">
        <v>1.0</v>
      </c>
      <c r="Y93" s="34">
        <v>0.1</v>
      </c>
      <c r="Z93" s="20">
        <v>0.0</v>
      </c>
      <c r="AA93" s="21">
        <f>IFERROR(Z93/U93,"")</f>
        <v>0.0</v>
      </c>
      <c r="AB93" s="24"/>
      <c r="AC93" s="21"/>
      <c r="AD93" s="24"/>
      <c r="AE93" s="21">
        <v>0.0</v>
      </c>
      <c r="AF93" s="21">
        <v>0.0</v>
      </c>
      <c r="AG93" s="21">
        <v>1.0</v>
      </c>
      <c r="AH93" s="24"/>
      <c r="AI93" s="21"/>
      <c r="AJ93" s="20">
        <v>8.0</v>
      </c>
      <c r="AK93" s="21">
        <f>IFERROR(AJ93/U93,"")</f>
        <v>0.8</v>
      </c>
      <c r="AL93" s="20">
        <v>0.0</v>
      </c>
      <c r="AM93" s="21">
        <v>0.0</v>
      </c>
      <c r="AN93" s="20">
        <v>0.0</v>
      </c>
      <c r="AO93" s="21">
        <f>IFERROR(AN93/AJ93,"")</f>
        <v>0.0</v>
      </c>
      <c r="AP93" s="24"/>
      <c r="AQ93" s="21"/>
      <c r="AR93" s="24"/>
      <c r="AS93" s="21">
        <v>0.0</v>
      </c>
      <c r="AT93" s="21">
        <v>0.0</v>
      </c>
      <c r="AU93" s="21">
        <v>1.0</v>
      </c>
      <c r="AV93" s="24"/>
      <c r="AW93" s="21"/>
      <c r="AX93" s="20">
        <v>2.0</v>
      </c>
      <c r="AY93" s="21">
        <f>IFERROR(AX93/U93,"")</f>
        <v>0.2</v>
      </c>
      <c r="AZ93" s="20">
        <v>1.0</v>
      </c>
      <c r="BA93" s="21">
        <v>0.5</v>
      </c>
      <c r="BB93" s="20">
        <v>0.0</v>
      </c>
      <c r="BC93" s="21">
        <f>IFERROR(BB93/AX93,"")</f>
        <v>0.0</v>
      </c>
      <c r="BD93" s="24"/>
      <c r="BE93" s="21"/>
      <c r="BF93" s="24"/>
      <c r="BG93" s="21">
        <v>0.0</v>
      </c>
      <c r="BH93" s="21">
        <v>0.0</v>
      </c>
      <c r="BI93" s="21">
        <v>1.0</v>
      </c>
      <c r="BJ93" s="24"/>
      <c r="BK93" s="21"/>
      <c r="BL93" s="22">
        <v>1.0</v>
      </c>
      <c r="BM93" s="20">
        <v>0.0</v>
      </c>
      <c r="BN93" s="21">
        <f>IFERROR(BM93/BL93,"")</f>
        <v>0.0</v>
      </c>
      <c r="BO93" s="24"/>
      <c r="BP93" s="21"/>
      <c r="BQ93" s="24"/>
      <c r="BR93" s="21">
        <v>0.0</v>
      </c>
      <c r="BS93" s="21">
        <v>0.0</v>
      </c>
      <c r="BT93" s="21">
        <v>1.0</v>
      </c>
      <c r="BU93" s="24"/>
      <c r="BV93" s="21"/>
      <c r="BW93" s="22">
        <v>18.0</v>
      </c>
      <c r="BX93" s="20">
        <v>5.0</v>
      </c>
      <c r="BY93" s="21">
        <f>IFERROR(BX93/BW93,"")</f>
        <v>0.2777777777777778</v>
      </c>
      <c r="BZ93" s="24">
        <v>1.0</v>
      </c>
      <c r="CA93" s="21">
        <v>0.2</v>
      </c>
      <c r="CB93" s="24">
        <v>0.8333333333333334</v>
      </c>
      <c r="CC93" s="21">
        <v>0.0</v>
      </c>
      <c r="CD93" s="21">
        <v>0.0</v>
      </c>
      <c r="CE93" s="21">
        <v>0.8888888888888888</v>
      </c>
      <c r="CF93" s="24"/>
      <c r="CG93" s="21"/>
    </row>
    <row r="94" spans="1:85" s="14" customFormat="1" ht="18.6" customHeight="1">
      <c r="A94" s="14"/>
      <c r="B94" s="20"/>
      <c r="C94" s="20" t="s">
        <v>162</v>
      </c>
      <c r="D94" s="21"/>
      <c r="E94" s="21">
        <f>IFERROR(H94/G94,"")</f>
        <v>0.09090909090909091</v>
      </c>
      <c r="F94" s="21">
        <f>IFERROR(I94/G94,"")</f>
        <v>0.0</v>
      </c>
      <c r="G94" s="20">
        <v>198.0</v>
      </c>
      <c r="H94" s="22">
        <v>18.0</v>
      </c>
      <c r="I94" s="22">
        <v>0.0</v>
      </c>
      <c r="J94" s="22">
        <v>1.0</v>
      </c>
      <c r="K94" s="34">
        <f>J94/H94</f>
        <v>0.05555555555555555</v>
      </c>
      <c r="L94" s="30">
        <f>IF(E94-D94&lt;0,0,CEILING((E94-D94)*G94,1))</f>
        <v>18.0</v>
      </c>
      <c r="M94" s="23">
        <v>0.0</v>
      </c>
      <c r="N94" s="23">
        <v>0.0</v>
      </c>
      <c r="O94" s="22"/>
      <c r="P94" s="22"/>
      <c r="Q94" s="22"/>
      <c r="R94" s="21"/>
      <c r="S94" s="23"/>
      <c r="T94" s="31"/>
      <c r="U94" s="22">
        <v>2.0</v>
      </c>
      <c r="V94" s="22">
        <v>0.0</v>
      </c>
      <c r="W94" s="22">
        <v>0.0</v>
      </c>
      <c r="X94" s="22">
        <v>0.0</v>
      </c>
      <c r="Y94" s="34">
        <v>0.0</v>
      </c>
      <c r="Z94" s="20">
        <v>0.0</v>
      </c>
      <c r="AA94" s="21">
        <f>IFERROR(Z94/U94,"")</f>
        <v>0.0</v>
      </c>
      <c r="AB94" s="24"/>
      <c r="AC94" s="21"/>
      <c r="AD94" s="24"/>
      <c r="AE94" s="21">
        <v>0.0</v>
      </c>
      <c r="AF94" s="21">
        <v>0.0</v>
      </c>
      <c r="AG94" s="21">
        <v>1.0</v>
      </c>
      <c r="AH94" s="24"/>
      <c r="AI94" s="21"/>
      <c r="AJ94" s="20">
        <v>2.0</v>
      </c>
      <c r="AK94" s="21">
        <f>IFERROR(AJ94/U94,"")</f>
        <v>1.0</v>
      </c>
      <c r="AL94" s="20">
        <v>0.0</v>
      </c>
      <c r="AM94" s="21">
        <v>0.0</v>
      </c>
      <c r="AN94" s="20">
        <v>0.0</v>
      </c>
      <c r="AO94" s="21">
        <f>IFERROR(AN94/AJ94,"")</f>
        <v>0.0</v>
      </c>
      <c r="AP94" s="24"/>
      <c r="AQ94" s="21"/>
      <c r="AR94" s="24"/>
      <c r="AS94" s="21">
        <v>0.0</v>
      </c>
      <c r="AT94" s="21">
        <v>0.0</v>
      </c>
      <c r="AU94" s="21">
        <v>1.0</v>
      </c>
      <c r="AV94" s="24"/>
      <c r="AW94" s="21"/>
      <c r="AX94" s="20">
        <v>0.0</v>
      </c>
      <c r="AY94" s="21">
        <f>IFERROR(AX94/U94,"")</f>
        <v>0.0</v>
      </c>
      <c r="AZ94" s="20"/>
      <c r="BA94" s="21"/>
      <c r="BB94" s="20">
        <v>0.0</v>
      </c>
      <c r="BC94" s="21" t="str">
        <f>IFERROR(BB94/AX94,"")</f>
        <v/>
      </c>
      <c r="BD94" s="24"/>
      <c r="BE94" s="21"/>
      <c r="BF94" s="24"/>
      <c r="BG94" s="21"/>
      <c r="BH94" s="21"/>
      <c r="BI94" s="21"/>
      <c r="BJ94" s="24"/>
      <c r="BK94" s="21"/>
      <c r="BL94" s="22">
        <v>0.0</v>
      </c>
      <c r="BM94" s="20">
        <v>0.0</v>
      </c>
      <c r="BN94" s="21" t="str">
        <f>IFERROR(BM94/BL94,"")</f>
        <v/>
      </c>
      <c r="BO94" s="24"/>
      <c r="BP94" s="21"/>
      <c r="BQ94" s="24"/>
      <c r="BR94" s="21"/>
      <c r="BS94" s="21"/>
      <c r="BT94" s="21"/>
      <c r="BU94" s="24"/>
      <c r="BV94" s="21"/>
      <c r="BW94" s="22">
        <v>12.0</v>
      </c>
      <c r="BX94" s="20">
        <v>0.0</v>
      </c>
      <c r="BY94" s="21">
        <f>IFERROR(BX94/BW94,"")</f>
        <v>0.0</v>
      </c>
      <c r="BZ94" s="24"/>
      <c r="CA94" s="21"/>
      <c r="CB94" s="24"/>
      <c r="CC94" s="21">
        <v>0.0</v>
      </c>
      <c r="CD94" s="21">
        <v>0.0</v>
      </c>
      <c r="CE94" s="21">
        <v>0.5833333333333334</v>
      </c>
      <c r="CF94" s="24"/>
      <c r="CG94" s="21"/>
    </row>
    <row r="95" spans="1:85" s="14" customFormat="1" ht="18.6" customHeight="1">
      <c r="A95" s="14"/>
      <c r="B95" s="20"/>
      <c r="C95" s="20" t="s">
        <v>163</v>
      </c>
      <c r="D95" s="21"/>
      <c r="E95" s="21">
        <f>IFERROR(H95/G95,"")</f>
        <v>0.1400329489291598</v>
      </c>
      <c r="F95" s="21">
        <f>IFERROR(I95/G95,"")</f>
        <v>0.0</v>
      </c>
      <c r="G95" s="20">
        <v>607.0</v>
      </c>
      <c r="H95" s="22">
        <v>85.0</v>
      </c>
      <c r="I95" s="22">
        <v>0.0</v>
      </c>
      <c r="J95" s="22">
        <v>5.0</v>
      </c>
      <c r="K95" s="34">
        <f>J95/H95</f>
        <v>0.058823529411764705</v>
      </c>
      <c r="L95" s="30">
        <f>IF(E95-D95&lt;0,0,CEILING((E95-D95)*G95,1))</f>
        <v>85.0</v>
      </c>
      <c r="M95" s="23">
        <v>2.0</v>
      </c>
      <c r="N95" s="23">
        <v>0.0</v>
      </c>
      <c r="O95" s="22"/>
      <c r="P95" s="22"/>
      <c r="Q95" s="22"/>
      <c r="R95" s="21"/>
      <c r="S95" s="23"/>
      <c r="T95" s="31"/>
      <c r="U95" s="22">
        <v>18.0</v>
      </c>
      <c r="V95" s="22">
        <v>0.0</v>
      </c>
      <c r="W95" s="22">
        <v>0.0</v>
      </c>
      <c r="X95" s="22">
        <v>1.0</v>
      </c>
      <c r="Y95" s="34">
        <v>0.05555555555555555</v>
      </c>
      <c r="Z95" s="20">
        <v>13.0</v>
      </c>
      <c r="AA95" s="21">
        <f>IFERROR(Z95/U95,"")</f>
        <v>0.7222222222222222</v>
      </c>
      <c r="AB95" s="24">
        <v>1.0</v>
      </c>
      <c r="AC95" s="21">
        <v>0.0</v>
      </c>
      <c r="AD95" s="24"/>
      <c r="AE95" s="21">
        <v>0.0</v>
      </c>
      <c r="AF95" s="21">
        <v>0.0</v>
      </c>
      <c r="AG95" s="21">
        <v>0.7777777777777778</v>
      </c>
      <c r="AH95" s="24"/>
      <c r="AI95" s="21"/>
      <c r="AJ95" s="20">
        <v>12.0</v>
      </c>
      <c r="AK95" s="21">
        <f>IFERROR(AJ95/U95,"")</f>
        <v>0.6666666666666666</v>
      </c>
      <c r="AL95" s="20">
        <v>1.0</v>
      </c>
      <c r="AM95" s="21">
        <v>0.08333333333333333</v>
      </c>
      <c r="AN95" s="20">
        <v>7.0</v>
      </c>
      <c r="AO95" s="21">
        <f>IFERROR(AN95/AJ95,"")</f>
        <v>0.5833333333333334</v>
      </c>
      <c r="AP95" s="24">
        <v>1.0</v>
      </c>
      <c r="AQ95" s="21">
        <v>0.0</v>
      </c>
      <c r="AR95" s="24"/>
      <c r="AS95" s="21">
        <v>0.0</v>
      </c>
      <c r="AT95" s="21">
        <v>0.0</v>
      </c>
      <c r="AU95" s="21">
        <v>0.75</v>
      </c>
      <c r="AV95" s="24"/>
      <c r="AW95" s="21"/>
      <c r="AX95" s="20">
        <v>6.0</v>
      </c>
      <c r="AY95" s="21">
        <f>IFERROR(AX95/U95,"")</f>
        <v>0.3333333333333333</v>
      </c>
      <c r="AZ95" s="20">
        <v>0.0</v>
      </c>
      <c r="BA95" s="21">
        <v>0.0</v>
      </c>
      <c r="BB95" s="20">
        <v>6.0</v>
      </c>
      <c r="BC95" s="21">
        <f>IFERROR(BB95/AX95,"")</f>
        <v>1.0</v>
      </c>
      <c r="BD95" s="24">
        <v>1.0</v>
      </c>
      <c r="BE95" s="21">
        <v>0.0</v>
      </c>
      <c r="BF95" s="24"/>
      <c r="BG95" s="21">
        <v>0.0</v>
      </c>
      <c r="BH95" s="21">
        <v>0.0</v>
      </c>
      <c r="BI95" s="21">
        <v>0.8333333333333334</v>
      </c>
      <c r="BJ95" s="24"/>
      <c r="BK95" s="21"/>
      <c r="BL95" s="22">
        <v>0.0</v>
      </c>
      <c r="BM95" s="20">
        <v>0.0</v>
      </c>
      <c r="BN95" s="21" t="str">
        <f>IFERROR(BM95/BL95,"")</f>
        <v/>
      </c>
      <c r="BO95" s="24"/>
      <c r="BP95" s="21"/>
      <c r="BQ95" s="24"/>
      <c r="BR95" s="21"/>
      <c r="BS95" s="21"/>
      <c r="BT95" s="21"/>
      <c r="BU95" s="24"/>
      <c r="BV95" s="21"/>
      <c r="BW95" s="22">
        <v>25.0</v>
      </c>
      <c r="BX95" s="20">
        <v>3.0</v>
      </c>
      <c r="BY95" s="21">
        <f>IFERROR(BX95/BW95,"")</f>
        <v>0.12</v>
      </c>
      <c r="BZ95" s="24">
        <v>1.0</v>
      </c>
      <c r="CA95" s="21">
        <v>0.6666666666666666</v>
      </c>
      <c r="CB95" s="24">
        <v>5.691666666666666</v>
      </c>
      <c r="CC95" s="21">
        <v>0.0</v>
      </c>
      <c r="CD95" s="21">
        <v>0.0</v>
      </c>
      <c r="CE95" s="21">
        <v>0.84</v>
      </c>
      <c r="CF95" s="24"/>
      <c r="CG95" s="21"/>
    </row>
    <row r="96" spans="1:85" s="14" customFormat="1" ht="18.6" customHeight="1">
      <c r="A96" s="14"/>
      <c r="B96" s="20" t="s">
        <v>92</v>
      </c>
      <c r="C96" s="20" t="s">
        <v>164</v>
      </c>
      <c r="D96" s="21"/>
      <c r="E96" s="21">
        <f>IFERROR(H96/G96,"")</f>
        <v>0.04292929292929293</v>
      </c>
      <c r="F96" s="21">
        <f>IFERROR(I96/G96,"")</f>
        <v>0.0</v>
      </c>
      <c r="G96" s="20">
        <v>396.0</v>
      </c>
      <c r="H96" s="22">
        <v>17.0</v>
      </c>
      <c r="I96" s="22">
        <v>0.0</v>
      </c>
      <c r="J96" s="22">
        <v>1.0</v>
      </c>
      <c r="K96" s="34">
        <f>J96/H96</f>
        <v>0.058823529411764705</v>
      </c>
      <c r="L96" s="30">
        <f>IF(E96-D96&lt;0,0,CEILING((E96-D96)*G96,1))</f>
        <v>17.0</v>
      </c>
      <c r="M96" s="23">
        <v>0.0</v>
      </c>
      <c r="N96" s="23">
        <v>0.0</v>
      </c>
      <c r="O96" s="22"/>
      <c r="P96" s="22"/>
      <c r="Q96" s="22"/>
      <c r="R96" s="21"/>
      <c r="S96" s="23"/>
      <c r="T96" s="31"/>
      <c r="U96" s="22">
        <v>2.0</v>
      </c>
      <c r="V96" s="22">
        <v>0.0</v>
      </c>
      <c r="W96" s="22">
        <v>0.0</v>
      </c>
      <c r="X96" s="22">
        <v>0.0</v>
      </c>
      <c r="Y96" s="34">
        <v>0.0</v>
      </c>
      <c r="Z96" s="20">
        <v>0.0</v>
      </c>
      <c r="AA96" s="21">
        <f>IFERROR(Z96/U96,"")</f>
        <v>0.0</v>
      </c>
      <c r="AB96" s="24"/>
      <c r="AC96" s="21"/>
      <c r="AD96" s="24"/>
      <c r="AE96" s="21">
        <v>0.0</v>
      </c>
      <c r="AF96" s="21">
        <v>0.0</v>
      </c>
      <c r="AG96" s="21">
        <v>1.0</v>
      </c>
      <c r="AH96" s="24"/>
      <c r="AI96" s="21"/>
      <c r="AJ96" s="20">
        <v>2.0</v>
      </c>
      <c r="AK96" s="21">
        <f>IFERROR(AJ96/U96,"")</f>
        <v>1.0</v>
      </c>
      <c r="AL96" s="20">
        <v>0.0</v>
      </c>
      <c r="AM96" s="21">
        <v>0.0</v>
      </c>
      <c r="AN96" s="20">
        <v>0.0</v>
      </c>
      <c r="AO96" s="21">
        <f>IFERROR(AN96/AJ96,"")</f>
        <v>0.0</v>
      </c>
      <c r="AP96" s="24"/>
      <c r="AQ96" s="21"/>
      <c r="AR96" s="24"/>
      <c r="AS96" s="21">
        <v>0.0</v>
      </c>
      <c r="AT96" s="21">
        <v>0.0</v>
      </c>
      <c r="AU96" s="21">
        <v>1.0</v>
      </c>
      <c r="AV96" s="24"/>
      <c r="AW96" s="21"/>
      <c r="AX96" s="20">
        <v>0.0</v>
      </c>
      <c r="AY96" s="21">
        <f>IFERROR(AX96/U96,"")</f>
        <v>0.0</v>
      </c>
      <c r="AZ96" s="20"/>
      <c r="BA96" s="21"/>
      <c r="BB96" s="20">
        <v>0.0</v>
      </c>
      <c r="BC96" s="21" t="str">
        <f>IFERROR(BB96/AX96,"")</f>
        <v/>
      </c>
      <c r="BD96" s="24"/>
      <c r="BE96" s="21"/>
      <c r="BF96" s="24"/>
      <c r="BG96" s="21"/>
      <c r="BH96" s="21"/>
      <c r="BI96" s="21"/>
      <c r="BJ96" s="24"/>
      <c r="BK96" s="21"/>
      <c r="BL96" s="22">
        <v>1.0</v>
      </c>
      <c r="BM96" s="20">
        <v>0.0</v>
      </c>
      <c r="BN96" s="21">
        <f>IFERROR(BM96/BL96,"")</f>
        <v>0.0</v>
      </c>
      <c r="BO96" s="24"/>
      <c r="BP96" s="21"/>
      <c r="BQ96" s="24"/>
      <c r="BR96" s="21">
        <v>0.0</v>
      </c>
      <c r="BS96" s="21">
        <v>0.0</v>
      </c>
      <c r="BT96" s="21">
        <v>1.0</v>
      </c>
      <c r="BU96" s="24"/>
      <c r="BV96" s="21"/>
      <c r="BW96" s="22">
        <v>22.0</v>
      </c>
      <c r="BX96" s="20">
        <v>2.0</v>
      </c>
      <c r="BY96" s="21">
        <f>IFERROR(BX96/BW96,"")</f>
        <v>0.09090909090909091</v>
      </c>
      <c r="BZ96" s="24">
        <v>1.0</v>
      </c>
      <c r="CA96" s="21">
        <v>0.0</v>
      </c>
      <c r="CB96" s="24"/>
      <c r="CC96" s="21">
        <v>0.0</v>
      </c>
      <c r="CD96" s="21">
        <v>0.0</v>
      </c>
      <c r="CE96" s="21">
        <v>0.8636363636363636</v>
      </c>
      <c r="CF96" s="24"/>
      <c r="CG96" s="21"/>
    </row>
    <row r="97" spans="1:85" s="14" customFormat="1" ht="18.6" customHeight="1">
      <c r="A97" s="14"/>
      <c r="B97" s="20"/>
      <c r="C97" s="20" t="s">
        <v>165</v>
      </c>
      <c r="D97" s="21"/>
      <c r="E97" s="21">
        <f>IFERROR(H97/G97,"")</f>
        <v>0.0514018691588785</v>
      </c>
      <c r="F97" s="21">
        <f>IFERROR(I97/G97,"")</f>
        <v>0.0</v>
      </c>
      <c r="G97" s="20">
        <v>428.0</v>
      </c>
      <c r="H97" s="22">
        <v>22.0</v>
      </c>
      <c r="I97" s="22">
        <v>0.0</v>
      </c>
      <c r="J97" s="22">
        <v>3.0</v>
      </c>
      <c r="K97" s="34">
        <f>J97/H97</f>
        <v>0.13636363636363635</v>
      </c>
      <c r="L97" s="30">
        <f>IF(E97-D97&lt;0,0,CEILING((E97-D97)*G97,1))</f>
        <v>22.0</v>
      </c>
      <c r="M97" s="23">
        <v>1.0</v>
      </c>
      <c r="N97" s="23">
        <v>0.0</v>
      </c>
      <c r="O97" s="22"/>
      <c r="P97" s="22"/>
      <c r="Q97" s="22"/>
      <c r="R97" s="21"/>
      <c r="S97" s="23"/>
      <c r="T97" s="31"/>
      <c r="U97" s="22">
        <v>7.0</v>
      </c>
      <c r="V97" s="22">
        <v>0.0</v>
      </c>
      <c r="W97" s="22">
        <v>0.0</v>
      </c>
      <c r="X97" s="22">
        <v>0.0</v>
      </c>
      <c r="Y97" s="34">
        <v>0.0</v>
      </c>
      <c r="Z97" s="20">
        <v>6.0</v>
      </c>
      <c r="AA97" s="21">
        <f>IFERROR(Z97/U97,"")</f>
        <v>0.8571428571428571</v>
      </c>
      <c r="AB97" s="24">
        <v>1.0</v>
      </c>
      <c r="AC97" s="21">
        <v>0.0</v>
      </c>
      <c r="AD97" s="24"/>
      <c r="AE97" s="21">
        <v>0.0</v>
      </c>
      <c r="AF97" s="21">
        <v>0.0</v>
      </c>
      <c r="AG97" s="21">
        <v>1.0</v>
      </c>
      <c r="AH97" s="24"/>
      <c r="AI97" s="21"/>
      <c r="AJ97" s="20">
        <v>4.0</v>
      </c>
      <c r="AK97" s="21">
        <f>IFERROR(AJ97/U97,"")</f>
        <v>0.5714285714285714</v>
      </c>
      <c r="AL97" s="20">
        <v>0.0</v>
      </c>
      <c r="AM97" s="21">
        <v>0.0</v>
      </c>
      <c r="AN97" s="20">
        <v>3.0</v>
      </c>
      <c r="AO97" s="21">
        <f>IFERROR(AN97/AJ97,"")</f>
        <v>0.75</v>
      </c>
      <c r="AP97" s="24">
        <v>1.0</v>
      </c>
      <c r="AQ97" s="21">
        <v>0.0</v>
      </c>
      <c r="AR97" s="24"/>
      <c r="AS97" s="21">
        <v>0.0</v>
      </c>
      <c r="AT97" s="21">
        <v>0.0</v>
      </c>
      <c r="AU97" s="21">
        <v>1.0</v>
      </c>
      <c r="AV97" s="24"/>
      <c r="AW97" s="21"/>
      <c r="AX97" s="20">
        <v>3.0</v>
      </c>
      <c r="AY97" s="21">
        <f>IFERROR(AX97/U97,"")</f>
        <v>0.42857142857142855</v>
      </c>
      <c r="AZ97" s="20">
        <v>0.0</v>
      </c>
      <c r="BA97" s="21">
        <v>0.0</v>
      </c>
      <c r="BB97" s="20">
        <v>3.0</v>
      </c>
      <c r="BC97" s="21">
        <f>IFERROR(BB97/AX97,"")</f>
        <v>1.0</v>
      </c>
      <c r="BD97" s="24">
        <v>1.0</v>
      </c>
      <c r="BE97" s="21">
        <v>0.0</v>
      </c>
      <c r="BF97" s="24"/>
      <c r="BG97" s="21">
        <v>0.0</v>
      </c>
      <c r="BH97" s="21">
        <v>0.0</v>
      </c>
      <c r="BI97" s="21">
        <v>1.0</v>
      </c>
      <c r="BJ97" s="24"/>
      <c r="BK97" s="21"/>
      <c r="BL97" s="22">
        <v>1.0</v>
      </c>
      <c r="BM97" s="20">
        <v>0.0</v>
      </c>
      <c r="BN97" s="21">
        <f>IFERROR(BM97/BL97,"")</f>
        <v>0.0</v>
      </c>
      <c r="BO97" s="24"/>
      <c r="BP97" s="21"/>
      <c r="BQ97" s="24"/>
      <c r="BR97" s="21">
        <v>0.0</v>
      </c>
      <c r="BS97" s="21">
        <v>0.0</v>
      </c>
      <c r="BT97" s="21">
        <v>1.0</v>
      </c>
      <c r="BU97" s="24"/>
      <c r="BV97" s="21"/>
      <c r="BW97" s="22">
        <v>17.0</v>
      </c>
      <c r="BX97" s="20">
        <v>7.0</v>
      </c>
      <c r="BY97" s="21">
        <f>IFERROR(BX97/BW97,"")</f>
        <v>0.4117647058823529</v>
      </c>
      <c r="BZ97" s="24">
        <v>1.2857142857142858</v>
      </c>
      <c r="CA97" s="21">
        <v>0.0</v>
      </c>
      <c r="CB97" s="24"/>
      <c r="CC97" s="21">
        <v>0.0</v>
      </c>
      <c r="CD97" s="21">
        <v>0.0</v>
      </c>
      <c r="CE97" s="21">
        <v>1.0</v>
      </c>
      <c r="CF97" s="24"/>
      <c r="CG97" s="21"/>
    </row>
    <row r="98" spans="1:85" s="14" customFormat="1" ht="18.6" customHeight="1">
      <c r="A98" s="14"/>
      <c r="B98" s="20"/>
      <c r="C98" s="20" t="s">
        <v>166</v>
      </c>
      <c r="D98" s="21"/>
      <c r="E98" s="21">
        <f>IFERROR(H98/G98,"")</f>
        <v>0.054187192118226604</v>
      </c>
      <c r="F98" s="21">
        <f>IFERROR(I98/G98,"")</f>
        <v>0.0</v>
      </c>
      <c r="G98" s="20">
        <v>203.0</v>
      </c>
      <c r="H98" s="22">
        <v>11.0</v>
      </c>
      <c r="I98" s="22">
        <v>0.0</v>
      </c>
      <c r="J98" s="22">
        <v>0.0</v>
      </c>
      <c r="K98" s="34">
        <f>J98/H98</f>
        <v>0.0</v>
      </c>
      <c r="L98" s="30">
        <f>IF(E98-D98&lt;0,0,CEILING((E98-D98)*G98,1))</f>
        <v>11.0</v>
      </c>
      <c r="M98" s="23">
        <v>0.0</v>
      </c>
      <c r="N98" s="23">
        <v>0.0</v>
      </c>
      <c r="O98" s="22"/>
      <c r="P98" s="22"/>
      <c r="Q98" s="22"/>
      <c r="R98" s="21"/>
      <c r="S98" s="23"/>
      <c r="T98" s="31"/>
      <c r="U98" s="22">
        <v>2.0</v>
      </c>
      <c r="V98" s="22">
        <v>0.0</v>
      </c>
      <c r="W98" s="22">
        <v>0.0</v>
      </c>
      <c r="X98" s="22">
        <v>0.0</v>
      </c>
      <c r="Y98" s="34">
        <v>0.0</v>
      </c>
      <c r="Z98" s="20">
        <v>2.0</v>
      </c>
      <c r="AA98" s="21">
        <f>IFERROR(Z98/U98,"")</f>
        <v>1.0</v>
      </c>
      <c r="AB98" s="24">
        <v>1.5</v>
      </c>
      <c r="AC98" s="21">
        <v>0.0</v>
      </c>
      <c r="AD98" s="24"/>
      <c r="AE98" s="21">
        <v>0.0</v>
      </c>
      <c r="AF98" s="21">
        <v>0.0</v>
      </c>
      <c r="AG98" s="21">
        <v>1.0</v>
      </c>
      <c r="AH98" s="24"/>
      <c r="AI98" s="21"/>
      <c r="AJ98" s="20">
        <v>1.0</v>
      </c>
      <c r="AK98" s="21">
        <f>IFERROR(AJ98/U98,"")</f>
        <v>0.5</v>
      </c>
      <c r="AL98" s="20">
        <v>0.0</v>
      </c>
      <c r="AM98" s="21">
        <v>0.0</v>
      </c>
      <c r="AN98" s="20">
        <v>1.0</v>
      </c>
      <c r="AO98" s="21">
        <f>IFERROR(AN98/AJ98,"")</f>
        <v>1.0</v>
      </c>
      <c r="AP98" s="24">
        <v>1.0</v>
      </c>
      <c r="AQ98" s="21">
        <v>0.0</v>
      </c>
      <c r="AR98" s="24"/>
      <c r="AS98" s="21">
        <v>0.0</v>
      </c>
      <c r="AT98" s="21">
        <v>0.0</v>
      </c>
      <c r="AU98" s="21">
        <v>1.0</v>
      </c>
      <c r="AV98" s="24"/>
      <c r="AW98" s="21"/>
      <c r="AX98" s="20">
        <v>1.0</v>
      </c>
      <c r="AY98" s="21">
        <f>IFERROR(AX98/U98,"")</f>
        <v>0.5</v>
      </c>
      <c r="AZ98" s="20">
        <v>0.0</v>
      </c>
      <c r="BA98" s="21">
        <v>0.0</v>
      </c>
      <c r="BB98" s="20">
        <v>1.0</v>
      </c>
      <c r="BC98" s="21">
        <f>IFERROR(BB98/AX98,"")</f>
        <v>1.0</v>
      </c>
      <c r="BD98" s="24">
        <v>2.0</v>
      </c>
      <c r="BE98" s="21">
        <v>0.0</v>
      </c>
      <c r="BF98" s="24"/>
      <c r="BG98" s="21">
        <v>0.0</v>
      </c>
      <c r="BH98" s="21">
        <v>0.0</v>
      </c>
      <c r="BI98" s="21">
        <v>1.0</v>
      </c>
      <c r="BJ98" s="24"/>
      <c r="BK98" s="21"/>
      <c r="BL98" s="22">
        <v>1.0</v>
      </c>
      <c r="BM98" s="20">
        <v>0.0</v>
      </c>
      <c r="BN98" s="21">
        <f>IFERROR(BM98/BL98,"")</f>
        <v>0.0</v>
      </c>
      <c r="BO98" s="24"/>
      <c r="BP98" s="21"/>
      <c r="BQ98" s="24"/>
      <c r="BR98" s="21">
        <v>0.0</v>
      </c>
      <c r="BS98" s="21">
        <v>0.0</v>
      </c>
      <c r="BT98" s="21">
        <v>1.0</v>
      </c>
      <c r="BU98" s="24"/>
      <c r="BV98" s="21"/>
      <c r="BW98" s="22">
        <v>14.0</v>
      </c>
      <c r="BX98" s="20">
        <v>4.0</v>
      </c>
      <c r="BY98" s="21">
        <f>IFERROR(BX98/BW98,"")</f>
        <v>0.2857142857142857</v>
      </c>
      <c r="BZ98" s="24">
        <v>1.0</v>
      </c>
      <c r="CA98" s="21">
        <v>0.0</v>
      </c>
      <c r="CB98" s="24"/>
      <c r="CC98" s="21">
        <v>0.0</v>
      </c>
      <c r="CD98" s="21">
        <v>0.0</v>
      </c>
      <c r="CE98" s="21">
        <v>0.8571428571428571</v>
      </c>
      <c r="CF98" s="24"/>
      <c r="CG98" s="21"/>
    </row>
    <row r="99" spans="1:85" s="14" customFormat="1" ht="18.6" customHeight="1">
      <c r="A99" s="14"/>
      <c r="B99" s="20"/>
      <c r="C99" s="20" t="s">
        <v>167</v>
      </c>
      <c r="D99" s="21"/>
      <c r="E99" s="21">
        <f>IFERROR(H99/G99,"")</f>
        <v>0.058666666666666666</v>
      </c>
      <c r="F99" s="21">
        <f>IFERROR(I99/G99,"")</f>
        <v>0.0</v>
      </c>
      <c r="G99" s="20">
        <v>375.0</v>
      </c>
      <c r="H99" s="22">
        <v>22.0</v>
      </c>
      <c r="I99" s="22">
        <v>0.0</v>
      </c>
      <c r="J99" s="22">
        <v>6.0</v>
      </c>
      <c r="K99" s="34">
        <f>J99/H99</f>
        <v>0.2727272727272727</v>
      </c>
      <c r="L99" s="30">
        <f>IF(E99-D99&lt;0,0,CEILING((E99-D99)*G99,1))</f>
        <v>22.0</v>
      </c>
      <c r="M99" s="23">
        <v>5.0</v>
      </c>
      <c r="N99" s="23">
        <v>0.0</v>
      </c>
      <c r="O99" s="22"/>
      <c r="P99" s="22"/>
      <c r="Q99" s="22"/>
      <c r="R99" s="21"/>
      <c r="S99" s="23"/>
      <c r="T99" s="31"/>
      <c r="U99" s="22">
        <v>10.0</v>
      </c>
      <c r="V99" s="22">
        <v>0.0</v>
      </c>
      <c r="W99" s="22">
        <v>0.0</v>
      </c>
      <c r="X99" s="22">
        <v>1.0</v>
      </c>
      <c r="Y99" s="34">
        <v>0.1</v>
      </c>
      <c r="Z99" s="20">
        <v>6.0</v>
      </c>
      <c r="AA99" s="21">
        <f>IFERROR(Z99/U99,"")</f>
        <v>0.6</v>
      </c>
      <c r="AB99" s="24">
        <v>1.3333333333333333</v>
      </c>
      <c r="AC99" s="21">
        <v>0.0</v>
      </c>
      <c r="AD99" s="24"/>
      <c r="AE99" s="21">
        <v>0.0</v>
      </c>
      <c r="AF99" s="21">
        <v>0.0</v>
      </c>
      <c r="AG99" s="21">
        <v>0.9</v>
      </c>
      <c r="AH99" s="24"/>
      <c r="AI99" s="21"/>
      <c r="AJ99" s="20">
        <v>7.0</v>
      </c>
      <c r="AK99" s="21">
        <f>IFERROR(AJ99/U99,"")</f>
        <v>0.7</v>
      </c>
      <c r="AL99" s="20">
        <v>0.0</v>
      </c>
      <c r="AM99" s="21">
        <v>0.0</v>
      </c>
      <c r="AN99" s="20">
        <v>3.0</v>
      </c>
      <c r="AO99" s="21">
        <f>IFERROR(AN99/AJ99,"")</f>
        <v>0.42857142857142855</v>
      </c>
      <c r="AP99" s="24">
        <v>1.0</v>
      </c>
      <c r="AQ99" s="21">
        <v>0.0</v>
      </c>
      <c r="AR99" s="24"/>
      <c r="AS99" s="21">
        <v>0.0</v>
      </c>
      <c r="AT99" s="21">
        <v>0.0</v>
      </c>
      <c r="AU99" s="21">
        <v>1.0</v>
      </c>
      <c r="AV99" s="24"/>
      <c r="AW99" s="21"/>
      <c r="AX99" s="20">
        <v>3.0</v>
      </c>
      <c r="AY99" s="21">
        <f>IFERROR(AX99/U99,"")</f>
        <v>0.3</v>
      </c>
      <c r="AZ99" s="20">
        <v>1.0</v>
      </c>
      <c r="BA99" s="21">
        <v>0.3333333333333333</v>
      </c>
      <c r="BB99" s="20">
        <v>3.0</v>
      </c>
      <c r="BC99" s="21">
        <f>IFERROR(BB99/AX99,"")</f>
        <v>1.0</v>
      </c>
      <c r="BD99" s="24">
        <v>1.6666666666666667</v>
      </c>
      <c r="BE99" s="21">
        <v>0.0</v>
      </c>
      <c r="BF99" s="24"/>
      <c r="BG99" s="21">
        <v>0.0</v>
      </c>
      <c r="BH99" s="21">
        <v>0.0</v>
      </c>
      <c r="BI99" s="21">
        <v>0.6666666666666666</v>
      </c>
      <c r="BJ99" s="24"/>
      <c r="BK99" s="21"/>
      <c r="BL99" s="22">
        <v>1.0</v>
      </c>
      <c r="BM99" s="20">
        <v>0.0</v>
      </c>
      <c r="BN99" s="21">
        <f>IFERROR(BM99/BL99,"")</f>
        <v>0.0</v>
      </c>
      <c r="BO99" s="24"/>
      <c r="BP99" s="21"/>
      <c r="BQ99" s="24"/>
      <c r="BR99" s="21">
        <v>0.0</v>
      </c>
      <c r="BS99" s="21">
        <v>0.0</v>
      </c>
      <c r="BT99" s="21">
        <v>1.0</v>
      </c>
      <c r="BU99" s="24"/>
      <c r="BV99" s="21"/>
      <c r="BW99" s="22">
        <v>17.0</v>
      </c>
      <c r="BX99" s="20">
        <v>6.0</v>
      </c>
      <c r="BY99" s="21">
        <f>IFERROR(BX99/BW99,"")</f>
        <v>0.35294117647058826</v>
      </c>
      <c r="BZ99" s="24">
        <v>1.1666666666666667</v>
      </c>
      <c r="CA99" s="21">
        <v>0.0</v>
      </c>
      <c r="CB99" s="24"/>
      <c r="CC99" s="21">
        <v>0.0</v>
      </c>
      <c r="CD99" s="21">
        <v>0.0</v>
      </c>
      <c r="CE99" s="21">
        <v>0.9411764705882353</v>
      </c>
      <c r="CF99" s="24"/>
      <c r="CG99" s="21"/>
    </row>
    <row r="100" spans="1:85" s="14" customFormat="1" ht="18.6" customHeight="1">
      <c r="A100" s="14"/>
      <c r="B100" s="20"/>
      <c r="C100" s="20" t="s">
        <v>168</v>
      </c>
      <c r="D100" s="21"/>
      <c r="E100" s="21">
        <f>IFERROR(H100/G100,"")</f>
        <v>0.06828193832599119</v>
      </c>
      <c r="F100" s="21">
        <f>IFERROR(I100/G100,"")</f>
        <v>0.0022026431718061676</v>
      </c>
      <c r="G100" s="20">
        <v>454.0</v>
      </c>
      <c r="H100" s="22">
        <v>31.0</v>
      </c>
      <c r="I100" s="22">
        <v>1.0</v>
      </c>
      <c r="J100" s="22">
        <v>3.0</v>
      </c>
      <c r="K100" s="34">
        <f>J100/H100</f>
        <v>0.0967741935483871</v>
      </c>
      <c r="L100" s="30">
        <f>IF(E100-D100&lt;0,0,CEILING((E100-D100)*G100,1))</f>
        <v>31.0</v>
      </c>
      <c r="M100" s="23">
        <v>1.0</v>
      </c>
      <c r="N100" s="23">
        <v>0.0</v>
      </c>
      <c r="O100" s="22"/>
      <c r="P100" s="22"/>
      <c r="Q100" s="22"/>
      <c r="R100" s="21"/>
      <c r="S100" s="23"/>
      <c r="T100" s="31"/>
      <c r="U100" s="22">
        <v>5.0</v>
      </c>
      <c r="V100" s="22">
        <v>0.0</v>
      </c>
      <c r="W100" s="22">
        <v>0.0</v>
      </c>
      <c r="X100" s="22">
        <v>0.0</v>
      </c>
      <c r="Y100" s="34">
        <v>0.0</v>
      </c>
      <c r="Z100" s="20">
        <v>4.0</v>
      </c>
      <c r="AA100" s="21">
        <f>IFERROR(Z100/U100,"")</f>
        <v>0.8</v>
      </c>
      <c r="AB100" s="24">
        <v>1.0</v>
      </c>
      <c r="AC100" s="21">
        <v>0.0</v>
      </c>
      <c r="AD100" s="24"/>
      <c r="AE100" s="21">
        <v>0.0</v>
      </c>
      <c r="AF100" s="21">
        <v>0.0</v>
      </c>
      <c r="AG100" s="21">
        <v>1.0</v>
      </c>
      <c r="AH100" s="24"/>
      <c r="AI100" s="21"/>
      <c r="AJ100" s="20">
        <v>5.0</v>
      </c>
      <c r="AK100" s="21">
        <f>IFERROR(AJ100/U100,"")</f>
        <v>1.0</v>
      </c>
      <c r="AL100" s="20">
        <v>0.0</v>
      </c>
      <c r="AM100" s="21">
        <v>0.0</v>
      </c>
      <c r="AN100" s="20">
        <v>4.0</v>
      </c>
      <c r="AO100" s="21">
        <f>IFERROR(AN100/AJ100,"")</f>
        <v>0.8</v>
      </c>
      <c r="AP100" s="24">
        <v>1.0</v>
      </c>
      <c r="AQ100" s="21">
        <v>0.0</v>
      </c>
      <c r="AR100" s="24"/>
      <c r="AS100" s="21">
        <v>0.0</v>
      </c>
      <c r="AT100" s="21">
        <v>0.0</v>
      </c>
      <c r="AU100" s="21">
        <v>1.0</v>
      </c>
      <c r="AV100" s="24"/>
      <c r="AW100" s="21"/>
      <c r="AX100" s="20">
        <v>0.0</v>
      </c>
      <c r="AY100" s="21">
        <f>IFERROR(AX100/U100,"")</f>
        <v>0.0</v>
      </c>
      <c r="AZ100" s="20"/>
      <c r="BA100" s="21"/>
      <c r="BB100" s="20">
        <v>0.0</v>
      </c>
      <c r="BC100" s="21" t="str">
        <f>IFERROR(BB100/AX100,"")</f>
        <v/>
      </c>
      <c r="BD100" s="24"/>
      <c r="BE100" s="21"/>
      <c r="BF100" s="24"/>
      <c r="BG100" s="21"/>
      <c r="BH100" s="21"/>
      <c r="BI100" s="21"/>
      <c r="BJ100" s="24"/>
      <c r="BK100" s="21"/>
      <c r="BL100" s="22">
        <v>0.0</v>
      </c>
      <c r="BM100" s="20">
        <v>0.0</v>
      </c>
      <c r="BN100" s="21" t="str">
        <f>IFERROR(BM100/BL100,"")</f>
        <v/>
      </c>
      <c r="BO100" s="24"/>
      <c r="BP100" s="21"/>
      <c r="BQ100" s="24"/>
      <c r="BR100" s="21"/>
      <c r="BS100" s="21"/>
      <c r="BT100" s="21"/>
      <c r="BU100" s="24"/>
      <c r="BV100" s="21"/>
      <c r="BW100" s="22">
        <v>23.0</v>
      </c>
      <c r="BX100" s="20">
        <v>2.0</v>
      </c>
      <c r="BY100" s="21">
        <f>IFERROR(BX100/BW100,"")</f>
        <v>0.08695652173913043</v>
      </c>
      <c r="BZ100" s="24">
        <v>2.0</v>
      </c>
      <c r="CA100" s="21">
        <v>0.0</v>
      </c>
      <c r="CB100" s="24"/>
      <c r="CC100" s="21">
        <v>0.0</v>
      </c>
      <c r="CD100" s="21">
        <v>0.0</v>
      </c>
      <c r="CE100" s="21">
        <v>0.7391304347826086</v>
      </c>
      <c r="CF100" s="24"/>
      <c r="CG100" s="21"/>
    </row>
    <row r="101" spans="1:85" s="14" customFormat="1" ht="18.6" customHeight="1">
      <c r="A101" s="14"/>
      <c r="B101" s="20"/>
      <c r="C101" s="20" t="s">
        <v>169</v>
      </c>
      <c r="D101" s="21"/>
      <c r="E101" s="21">
        <f>IFERROR(H101/G101,"")</f>
        <v>0.08053691275167785</v>
      </c>
      <c r="F101" s="21">
        <f>IFERROR(I101/G101,"")</f>
        <v>0.0</v>
      </c>
      <c r="G101" s="20">
        <v>447.0</v>
      </c>
      <c r="H101" s="22">
        <v>36.0</v>
      </c>
      <c r="I101" s="22">
        <v>0.0</v>
      </c>
      <c r="J101" s="22">
        <v>9.0</v>
      </c>
      <c r="K101" s="34">
        <f>J101/H101</f>
        <v>0.25</v>
      </c>
      <c r="L101" s="30">
        <f>IF(E101-D101&lt;0,0,CEILING((E101-D101)*G101,1))</f>
        <v>36.0</v>
      </c>
      <c r="M101" s="23">
        <v>5.0</v>
      </c>
      <c r="N101" s="23">
        <v>0.0</v>
      </c>
      <c r="O101" s="22"/>
      <c r="P101" s="22"/>
      <c r="Q101" s="22"/>
      <c r="R101" s="21"/>
      <c r="S101" s="23"/>
      <c r="T101" s="31"/>
      <c r="U101" s="22">
        <v>9.0</v>
      </c>
      <c r="V101" s="22">
        <v>0.0</v>
      </c>
      <c r="W101" s="22">
        <v>0.0</v>
      </c>
      <c r="X101" s="22">
        <v>2.0</v>
      </c>
      <c r="Y101" s="34">
        <v>0.2222222222222222</v>
      </c>
      <c r="Z101" s="20">
        <v>3.0</v>
      </c>
      <c r="AA101" s="21">
        <f>IFERROR(Z101/U101,"")</f>
        <v>0.3333333333333333</v>
      </c>
      <c r="AB101" s="24">
        <v>1.0</v>
      </c>
      <c r="AC101" s="21">
        <v>0.0</v>
      </c>
      <c r="AD101" s="24"/>
      <c r="AE101" s="21">
        <v>0.0</v>
      </c>
      <c r="AF101" s="21">
        <v>0.0</v>
      </c>
      <c r="AG101" s="21">
        <v>0.7777777777777778</v>
      </c>
      <c r="AH101" s="24"/>
      <c r="AI101" s="21"/>
      <c r="AJ101" s="20">
        <v>7.0</v>
      </c>
      <c r="AK101" s="21">
        <f>IFERROR(AJ101/U101,"")</f>
        <v>0.7777777777777778</v>
      </c>
      <c r="AL101" s="20">
        <v>2.0</v>
      </c>
      <c r="AM101" s="21">
        <v>0.2857142857142857</v>
      </c>
      <c r="AN101" s="20">
        <v>2.0</v>
      </c>
      <c r="AO101" s="21">
        <f>IFERROR(AN101/AJ101,"")</f>
        <v>0.2857142857142857</v>
      </c>
      <c r="AP101" s="24">
        <v>1.0</v>
      </c>
      <c r="AQ101" s="21">
        <v>0.0</v>
      </c>
      <c r="AR101" s="24"/>
      <c r="AS101" s="21">
        <v>0.0</v>
      </c>
      <c r="AT101" s="21">
        <v>0.0</v>
      </c>
      <c r="AU101" s="21">
        <v>0.8571428571428571</v>
      </c>
      <c r="AV101" s="24"/>
      <c r="AW101" s="21"/>
      <c r="AX101" s="20">
        <v>2.0</v>
      </c>
      <c r="AY101" s="21">
        <f>IFERROR(AX101/U101,"")</f>
        <v>0.2222222222222222</v>
      </c>
      <c r="AZ101" s="20">
        <v>0.0</v>
      </c>
      <c r="BA101" s="21">
        <v>0.0</v>
      </c>
      <c r="BB101" s="20">
        <v>1.0</v>
      </c>
      <c r="BC101" s="21">
        <f>IFERROR(BB101/AX101,"")</f>
        <v>0.5</v>
      </c>
      <c r="BD101" s="24">
        <v>1.0</v>
      </c>
      <c r="BE101" s="21">
        <v>0.0</v>
      </c>
      <c r="BF101" s="24"/>
      <c r="BG101" s="21">
        <v>0.0</v>
      </c>
      <c r="BH101" s="21">
        <v>0.0</v>
      </c>
      <c r="BI101" s="21">
        <v>0.5</v>
      </c>
      <c r="BJ101" s="24"/>
      <c r="BK101" s="21"/>
      <c r="BL101" s="22">
        <v>1.0</v>
      </c>
      <c r="BM101" s="20">
        <v>0.0</v>
      </c>
      <c r="BN101" s="21">
        <f>IFERROR(BM101/BL101,"")</f>
        <v>0.0</v>
      </c>
      <c r="BO101" s="24"/>
      <c r="BP101" s="21"/>
      <c r="BQ101" s="24"/>
      <c r="BR101" s="21">
        <v>0.0</v>
      </c>
      <c r="BS101" s="21">
        <v>0.0</v>
      </c>
      <c r="BT101" s="21">
        <v>1.0</v>
      </c>
      <c r="BU101" s="24"/>
      <c r="BV101" s="21"/>
      <c r="BW101" s="22">
        <v>23.0</v>
      </c>
      <c r="BX101" s="20">
        <v>0.0</v>
      </c>
      <c r="BY101" s="21">
        <f>IFERROR(BX101/BW101,"")</f>
        <v>0.0</v>
      </c>
      <c r="BZ101" s="24"/>
      <c r="CA101" s="21"/>
      <c r="CB101" s="24"/>
      <c r="CC101" s="21">
        <v>0.0</v>
      </c>
      <c r="CD101" s="21">
        <v>0.0</v>
      </c>
      <c r="CE101" s="21">
        <v>1.0</v>
      </c>
      <c r="CF101" s="24"/>
      <c r="CG101" s="21"/>
    </row>
    <row r="102" spans="1:85" s="14" customFormat="1" ht="18.6" customHeight="1">
      <c r="A102" s="14"/>
      <c r="B102" s="20"/>
      <c r="C102" s="20" t="s">
        <v>170</v>
      </c>
      <c r="D102" s="21"/>
      <c r="E102" s="21">
        <f>IFERROR(H102/G102,"")</f>
        <v>0.06129032258064516</v>
      </c>
      <c r="F102" s="21">
        <f>IFERROR(I102/G102,"")</f>
        <v>0.0</v>
      </c>
      <c r="G102" s="20">
        <v>310.0</v>
      </c>
      <c r="H102" s="22">
        <v>19.0</v>
      </c>
      <c r="I102" s="22">
        <v>0.0</v>
      </c>
      <c r="J102" s="22">
        <v>1.0</v>
      </c>
      <c r="K102" s="34">
        <f>J102/H102</f>
        <v>0.05263157894736842</v>
      </c>
      <c r="L102" s="30">
        <f>IF(E102-D102&lt;0,0,CEILING((E102-D102)*G102,1))</f>
        <v>19.0</v>
      </c>
      <c r="M102" s="23">
        <v>1.0</v>
      </c>
      <c r="N102" s="23">
        <v>0.0</v>
      </c>
      <c r="O102" s="22"/>
      <c r="P102" s="22"/>
      <c r="Q102" s="22"/>
      <c r="R102" s="21"/>
      <c r="S102" s="23"/>
      <c r="T102" s="31"/>
      <c r="U102" s="22">
        <v>8.0</v>
      </c>
      <c r="V102" s="22">
        <v>0.0</v>
      </c>
      <c r="W102" s="22">
        <v>0.0</v>
      </c>
      <c r="X102" s="22">
        <v>2.0</v>
      </c>
      <c r="Y102" s="34">
        <v>0.25</v>
      </c>
      <c r="Z102" s="20">
        <v>5.0</v>
      </c>
      <c r="AA102" s="21">
        <f>IFERROR(Z102/U102,"")</f>
        <v>0.625</v>
      </c>
      <c r="AB102" s="24">
        <v>1.4</v>
      </c>
      <c r="AC102" s="21">
        <v>0.0</v>
      </c>
      <c r="AD102" s="24"/>
      <c r="AE102" s="21">
        <v>0.0</v>
      </c>
      <c r="AF102" s="21">
        <v>0.0</v>
      </c>
      <c r="AG102" s="21">
        <v>0.75</v>
      </c>
      <c r="AH102" s="24"/>
      <c r="AI102" s="21"/>
      <c r="AJ102" s="20">
        <v>7.0</v>
      </c>
      <c r="AK102" s="21">
        <f>IFERROR(AJ102/U102,"")</f>
        <v>0.875</v>
      </c>
      <c r="AL102" s="20">
        <v>2.0</v>
      </c>
      <c r="AM102" s="21">
        <v>0.2857142857142857</v>
      </c>
      <c r="AN102" s="20">
        <v>5.0</v>
      </c>
      <c r="AO102" s="21">
        <f>IFERROR(AN102/AJ102,"")</f>
        <v>0.7142857142857143</v>
      </c>
      <c r="AP102" s="24">
        <v>1.4</v>
      </c>
      <c r="AQ102" s="21">
        <v>0.0</v>
      </c>
      <c r="AR102" s="24"/>
      <c r="AS102" s="21">
        <v>0.0</v>
      </c>
      <c r="AT102" s="21">
        <v>0.0</v>
      </c>
      <c r="AU102" s="21">
        <v>0.7142857142857143</v>
      </c>
      <c r="AV102" s="24"/>
      <c r="AW102" s="21"/>
      <c r="AX102" s="20">
        <v>1.0</v>
      </c>
      <c r="AY102" s="21">
        <f>IFERROR(AX102/U102,"")</f>
        <v>0.125</v>
      </c>
      <c r="AZ102" s="20">
        <v>0.0</v>
      </c>
      <c r="BA102" s="21">
        <v>0.0</v>
      </c>
      <c r="BB102" s="20">
        <v>0.0</v>
      </c>
      <c r="BC102" s="21">
        <f>IFERROR(BB102/AX102,"")</f>
        <v>0.0</v>
      </c>
      <c r="BD102" s="24"/>
      <c r="BE102" s="21"/>
      <c r="BF102" s="24"/>
      <c r="BG102" s="21">
        <v>0.0</v>
      </c>
      <c r="BH102" s="21">
        <v>0.0</v>
      </c>
      <c r="BI102" s="21">
        <v>1.0</v>
      </c>
      <c r="BJ102" s="24"/>
      <c r="BK102" s="21"/>
      <c r="BL102" s="22">
        <v>0.0</v>
      </c>
      <c r="BM102" s="20">
        <v>0.0</v>
      </c>
      <c r="BN102" s="21" t="str">
        <f>IFERROR(BM102/BL102,"")</f>
        <v/>
      </c>
      <c r="BO102" s="24"/>
      <c r="BP102" s="21"/>
      <c r="BQ102" s="24"/>
      <c r="BR102" s="21"/>
      <c r="BS102" s="21"/>
      <c r="BT102" s="21"/>
      <c r="BU102" s="24"/>
      <c r="BV102" s="21"/>
      <c r="BW102" s="22">
        <v>14.0</v>
      </c>
      <c r="BX102" s="20">
        <v>3.0</v>
      </c>
      <c r="BY102" s="21">
        <f>IFERROR(BX102/BW102,"")</f>
        <v>0.21428571428571427</v>
      </c>
      <c r="BZ102" s="24">
        <v>1.6666666666666667</v>
      </c>
      <c r="CA102" s="21">
        <v>0.0</v>
      </c>
      <c r="CB102" s="24"/>
      <c r="CC102" s="21">
        <v>0.0</v>
      </c>
      <c r="CD102" s="21">
        <v>0.0</v>
      </c>
      <c r="CE102" s="21">
        <v>0.7857142857142857</v>
      </c>
      <c r="CF102" s="24"/>
      <c r="CG102" s="21"/>
    </row>
    <row r="103" spans="1:85" s="14" customFormat="1" ht="18.6" customHeight="1">
      <c r="A103" s="14"/>
      <c r="B103" s="20" t="s">
        <v>93</v>
      </c>
      <c r="C103" s="20" t="s">
        <v>25</v>
      </c>
      <c r="D103" s="21"/>
      <c r="E103" s="21">
        <f>IFERROR(H103/G103,"")</f>
        <v>0.06896551724137931</v>
      </c>
      <c r="F103" s="21">
        <f>IFERROR(I103/G103,"")</f>
        <v>0.0</v>
      </c>
      <c r="G103" s="20">
        <v>261.0</v>
      </c>
      <c r="H103" s="22">
        <v>18.0</v>
      </c>
      <c r="I103" s="22">
        <v>0.0</v>
      </c>
      <c r="J103" s="22">
        <v>1.0</v>
      </c>
      <c r="K103" s="34">
        <f>J103/H103</f>
        <v>0.05555555555555555</v>
      </c>
      <c r="L103" s="30">
        <f>IF(E103-D103&lt;0,0,CEILING((E103-D103)*G103,1))</f>
        <v>18.0</v>
      </c>
      <c r="M103" s="23">
        <v>0.0</v>
      </c>
      <c r="N103" s="23">
        <v>0.0</v>
      </c>
      <c r="O103" s="22"/>
      <c r="P103" s="22"/>
      <c r="Q103" s="22"/>
      <c r="R103" s="21"/>
      <c r="S103" s="23"/>
      <c r="T103" s="31"/>
      <c r="U103" s="22">
        <v>2.0</v>
      </c>
      <c r="V103" s="22">
        <v>0.0</v>
      </c>
      <c r="W103" s="22">
        <v>0.0</v>
      </c>
      <c r="X103" s="22">
        <v>0.0</v>
      </c>
      <c r="Y103" s="34">
        <v>0.0</v>
      </c>
      <c r="Z103" s="20">
        <v>2.0</v>
      </c>
      <c r="AA103" s="21">
        <f>IFERROR(Z103/U103,"")</f>
        <v>1.0</v>
      </c>
      <c r="AB103" s="24">
        <v>1.0</v>
      </c>
      <c r="AC103" s="21">
        <v>0.0</v>
      </c>
      <c r="AD103" s="24"/>
      <c r="AE103" s="21">
        <v>0.0</v>
      </c>
      <c r="AF103" s="21">
        <v>0.0</v>
      </c>
      <c r="AG103" s="21">
        <v>0.5</v>
      </c>
      <c r="AH103" s="24"/>
      <c r="AI103" s="21"/>
      <c r="AJ103" s="20">
        <v>2.0</v>
      </c>
      <c r="AK103" s="21">
        <f>IFERROR(AJ103/U103,"")</f>
        <v>1.0</v>
      </c>
      <c r="AL103" s="20">
        <v>0.0</v>
      </c>
      <c r="AM103" s="21">
        <v>0.0</v>
      </c>
      <c r="AN103" s="20">
        <v>2.0</v>
      </c>
      <c r="AO103" s="21">
        <f>IFERROR(AN103/AJ103,"")</f>
        <v>1.0</v>
      </c>
      <c r="AP103" s="24">
        <v>1.0</v>
      </c>
      <c r="AQ103" s="21">
        <v>0.0</v>
      </c>
      <c r="AR103" s="24"/>
      <c r="AS103" s="21">
        <v>0.0</v>
      </c>
      <c r="AT103" s="21">
        <v>0.0</v>
      </c>
      <c r="AU103" s="21">
        <v>0.5</v>
      </c>
      <c r="AV103" s="24"/>
      <c r="AW103" s="21"/>
      <c r="AX103" s="20">
        <v>0.0</v>
      </c>
      <c r="AY103" s="21">
        <f>IFERROR(AX103/U103,"")</f>
        <v>0.0</v>
      </c>
      <c r="AZ103" s="20"/>
      <c r="BA103" s="21"/>
      <c r="BB103" s="20">
        <v>0.0</v>
      </c>
      <c r="BC103" s="21" t="str">
        <f>IFERROR(BB103/AX103,"")</f>
        <v/>
      </c>
      <c r="BD103" s="24"/>
      <c r="BE103" s="21"/>
      <c r="BF103" s="24"/>
      <c r="BG103" s="21"/>
      <c r="BH103" s="21"/>
      <c r="BI103" s="21"/>
      <c r="BJ103" s="24"/>
      <c r="BK103" s="21"/>
      <c r="BL103" s="22">
        <v>2.0</v>
      </c>
      <c r="BM103" s="20">
        <v>0.0</v>
      </c>
      <c r="BN103" s="21">
        <f>IFERROR(BM103/BL103,"")</f>
        <v>0.0</v>
      </c>
      <c r="BO103" s="24"/>
      <c r="BP103" s="21"/>
      <c r="BQ103" s="24"/>
      <c r="BR103" s="21">
        <v>0.0</v>
      </c>
      <c r="BS103" s="21">
        <v>0.0</v>
      </c>
      <c r="BT103" s="21">
        <v>1.0</v>
      </c>
      <c r="BU103" s="24"/>
      <c r="BV103" s="21"/>
      <c r="BW103" s="22">
        <v>13.0</v>
      </c>
      <c r="BX103" s="20">
        <v>1.0</v>
      </c>
      <c r="BY103" s="21">
        <f>IFERROR(BX103/BW103,"")</f>
        <v>0.07692307692307693</v>
      </c>
      <c r="BZ103" s="24">
        <v>1.0</v>
      </c>
      <c r="CA103" s="21">
        <v>0.0</v>
      </c>
      <c r="CB103" s="24"/>
      <c r="CC103" s="21">
        <v>0.0</v>
      </c>
      <c r="CD103" s="21">
        <v>0.0</v>
      </c>
      <c r="CE103" s="21">
        <v>0.9230769230769231</v>
      </c>
      <c r="CF103" s="24"/>
      <c r="CG103" s="21"/>
    </row>
    <row r="104" spans="1:85" s="14" customFormat="1" ht="18.6" customHeight="1">
      <c r="A104" s="14"/>
      <c r="B104" s="20"/>
      <c r="C104" s="20" t="s">
        <v>171</v>
      </c>
      <c r="D104" s="21"/>
      <c r="E104" s="21">
        <f>IFERROR(H104/G104,"")</f>
        <v>0.051587301587301584</v>
      </c>
      <c r="F104" s="21">
        <f>IFERROR(I104/G104,"")</f>
        <v>0.0</v>
      </c>
      <c r="G104" s="20">
        <v>252.0</v>
      </c>
      <c r="H104" s="22">
        <v>13.0</v>
      </c>
      <c r="I104" s="22">
        <v>0.0</v>
      </c>
      <c r="J104" s="22">
        <v>1.0</v>
      </c>
      <c r="K104" s="34">
        <f>J104/H104</f>
        <v>0.07692307692307693</v>
      </c>
      <c r="L104" s="30">
        <f>IF(E104-D104&lt;0,0,CEILING((E104-D104)*G104,1))</f>
        <v>13.0</v>
      </c>
      <c r="M104" s="23">
        <v>0.0</v>
      </c>
      <c r="N104" s="23">
        <v>0.0</v>
      </c>
      <c r="O104" s="22"/>
      <c r="P104" s="22"/>
      <c r="Q104" s="22"/>
      <c r="R104" s="21"/>
      <c r="S104" s="23"/>
      <c r="T104" s="31"/>
      <c r="U104" s="22">
        <v>3.0</v>
      </c>
      <c r="V104" s="22">
        <v>0.0</v>
      </c>
      <c r="W104" s="22">
        <v>0.0</v>
      </c>
      <c r="X104" s="22">
        <v>0.0</v>
      </c>
      <c r="Y104" s="34">
        <v>0.0</v>
      </c>
      <c r="Z104" s="20">
        <v>1.0</v>
      </c>
      <c r="AA104" s="21">
        <f>IFERROR(Z104/U104,"")</f>
        <v>0.3333333333333333</v>
      </c>
      <c r="AB104" s="24">
        <v>1.0</v>
      </c>
      <c r="AC104" s="21">
        <v>1.0</v>
      </c>
      <c r="AD104" s="24">
        <v>3.4</v>
      </c>
      <c r="AE104" s="21">
        <v>0.0</v>
      </c>
      <c r="AF104" s="21">
        <v>0.0</v>
      </c>
      <c r="AG104" s="21">
        <v>0.6666666666666666</v>
      </c>
      <c r="AH104" s="24"/>
      <c r="AI104" s="21"/>
      <c r="AJ104" s="20">
        <v>3.0</v>
      </c>
      <c r="AK104" s="21">
        <f>IFERROR(AJ104/U104,"")</f>
        <v>1.0</v>
      </c>
      <c r="AL104" s="20">
        <v>0.0</v>
      </c>
      <c r="AM104" s="21">
        <v>0.0</v>
      </c>
      <c r="AN104" s="20">
        <v>1.0</v>
      </c>
      <c r="AO104" s="21">
        <f>IFERROR(AN104/AJ104,"")</f>
        <v>0.3333333333333333</v>
      </c>
      <c r="AP104" s="24">
        <v>1.0</v>
      </c>
      <c r="AQ104" s="21">
        <v>1.0</v>
      </c>
      <c r="AR104" s="24">
        <v>3.4</v>
      </c>
      <c r="AS104" s="21">
        <v>0.0</v>
      </c>
      <c r="AT104" s="21">
        <v>0.0</v>
      </c>
      <c r="AU104" s="21">
        <v>0.6666666666666666</v>
      </c>
      <c r="AV104" s="24"/>
      <c r="AW104" s="21"/>
      <c r="AX104" s="20">
        <v>0.0</v>
      </c>
      <c r="AY104" s="21">
        <f>IFERROR(AX104/U104,"")</f>
        <v>0.0</v>
      </c>
      <c r="AZ104" s="20"/>
      <c r="BA104" s="21"/>
      <c r="BB104" s="20">
        <v>0.0</v>
      </c>
      <c r="BC104" s="21" t="str">
        <f>IFERROR(BB104/AX104,"")</f>
        <v/>
      </c>
      <c r="BD104" s="24"/>
      <c r="BE104" s="21"/>
      <c r="BF104" s="24"/>
      <c r="BG104" s="21"/>
      <c r="BH104" s="21"/>
      <c r="BI104" s="21"/>
      <c r="BJ104" s="24"/>
      <c r="BK104" s="21"/>
      <c r="BL104" s="22">
        <v>1.0</v>
      </c>
      <c r="BM104" s="20">
        <v>0.0</v>
      </c>
      <c r="BN104" s="21">
        <f>IFERROR(BM104/BL104,"")</f>
        <v>0.0</v>
      </c>
      <c r="BO104" s="24"/>
      <c r="BP104" s="21"/>
      <c r="BQ104" s="24"/>
      <c r="BR104" s="21">
        <v>0.0</v>
      </c>
      <c r="BS104" s="21">
        <v>0.0</v>
      </c>
      <c r="BT104" s="21">
        <v>1.0</v>
      </c>
      <c r="BU104" s="24"/>
      <c r="BV104" s="21"/>
      <c r="BW104" s="22">
        <v>19.0</v>
      </c>
      <c r="BX104" s="20">
        <v>9.0</v>
      </c>
      <c r="BY104" s="21">
        <f>IFERROR(BX104/BW104,"")</f>
        <v>0.47368421052631576</v>
      </c>
      <c r="BZ104" s="24">
        <v>2.2222222222222223</v>
      </c>
      <c r="CA104" s="21">
        <v>0.15</v>
      </c>
      <c r="CB104" s="24">
        <v>3.533333333333333</v>
      </c>
      <c r="CC104" s="21">
        <v>0.0</v>
      </c>
      <c r="CD104" s="21">
        <v>0.0</v>
      </c>
      <c r="CE104" s="21">
        <v>0.8421052631578947</v>
      </c>
      <c r="CF104" s="24"/>
      <c r="CG104" s="21"/>
    </row>
    <row r="105" spans="1:85" s="14" customFormat="1" ht="18.6" customHeight="1">
      <c r="A105" s="14"/>
      <c r="B105" s="20"/>
      <c r="C105" s="20" t="s">
        <v>23</v>
      </c>
      <c r="D105" s="21"/>
      <c r="E105" s="21">
        <f>IFERROR(H105/G105,"")</f>
        <v>0.06844106463878327</v>
      </c>
      <c r="F105" s="21">
        <f>IFERROR(I105/G105,"")</f>
        <v>0.0</v>
      </c>
      <c r="G105" s="20">
        <v>263.0</v>
      </c>
      <c r="H105" s="22">
        <v>18.0</v>
      </c>
      <c r="I105" s="22">
        <v>0.0</v>
      </c>
      <c r="J105" s="22">
        <v>2.0</v>
      </c>
      <c r="K105" s="34">
        <f>J105/H105</f>
        <v>0.1111111111111111</v>
      </c>
      <c r="L105" s="30">
        <f>IF(E105-D105&lt;0,0,CEILING((E105-D105)*G105,1))</f>
        <v>18.0</v>
      </c>
      <c r="M105" s="23">
        <v>2.0</v>
      </c>
      <c r="N105" s="23">
        <v>0.0</v>
      </c>
      <c r="O105" s="22"/>
      <c r="P105" s="22"/>
      <c r="Q105" s="22"/>
      <c r="R105" s="21"/>
      <c r="S105" s="23"/>
      <c r="T105" s="31"/>
      <c r="U105" s="22">
        <v>5.0</v>
      </c>
      <c r="V105" s="22">
        <v>0.0</v>
      </c>
      <c r="W105" s="22">
        <v>0.0</v>
      </c>
      <c r="X105" s="22">
        <v>0.0</v>
      </c>
      <c r="Y105" s="34">
        <v>0.0</v>
      </c>
      <c r="Z105" s="20">
        <v>5.0</v>
      </c>
      <c r="AA105" s="21">
        <f>IFERROR(Z105/U105,"")</f>
        <v>1.0</v>
      </c>
      <c r="AB105" s="24">
        <v>1.0</v>
      </c>
      <c r="AC105" s="21">
        <v>0.0</v>
      </c>
      <c r="AD105" s="24"/>
      <c r="AE105" s="21">
        <v>0.0</v>
      </c>
      <c r="AF105" s="21">
        <v>0.0</v>
      </c>
      <c r="AG105" s="21">
        <v>1.0</v>
      </c>
      <c r="AH105" s="24"/>
      <c r="AI105" s="21"/>
      <c r="AJ105" s="20">
        <v>5.0</v>
      </c>
      <c r="AK105" s="21">
        <f>IFERROR(AJ105/U105,"")</f>
        <v>1.0</v>
      </c>
      <c r="AL105" s="20">
        <v>0.0</v>
      </c>
      <c r="AM105" s="21">
        <v>0.0</v>
      </c>
      <c r="AN105" s="20">
        <v>5.0</v>
      </c>
      <c r="AO105" s="21">
        <f>IFERROR(AN105/AJ105,"")</f>
        <v>1.0</v>
      </c>
      <c r="AP105" s="24">
        <v>1.0</v>
      </c>
      <c r="AQ105" s="21">
        <v>0.0</v>
      </c>
      <c r="AR105" s="24"/>
      <c r="AS105" s="21">
        <v>0.0</v>
      </c>
      <c r="AT105" s="21">
        <v>0.0</v>
      </c>
      <c r="AU105" s="21">
        <v>1.0</v>
      </c>
      <c r="AV105" s="24"/>
      <c r="AW105" s="21"/>
      <c r="AX105" s="20">
        <v>0.0</v>
      </c>
      <c r="AY105" s="21">
        <f>IFERROR(AX105/U105,"")</f>
        <v>0.0</v>
      </c>
      <c r="AZ105" s="20"/>
      <c r="BA105" s="21"/>
      <c r="BB105" s="20">
        <v>0.0</v>
      </c>
      <c r="BC105" s="21" t="str">
        <f>IFERROR(BB105/AX105,"")</f>
        <v/>
      </c>
      <c r="BD105" s="24"/>
      <c r="BE105" s="21"/>
      <c r="BF105" s="24"/>
      <c r="BG105" s="21"/>
      <c r="BH105" s="21"/>
      <c r="BI105" s="21"/>
      <c r="BJ105" s="24"/>
      <c r="BK105" s="21"/>
      <c r="BL105" s="22">
        <v>0.0</v>
      </c>
      <c r="BM105" s="20">
        <v>0.0</v>
      </c>
      <c r="BN105" s="21" t="str">
        <f>IFERROR(BM105/BL105,"")</f>
        <v/>
      </c>
      <c r="BO105" s="24"/>
      <c r="BP105" s="21"/>
      <c r="BQ105" s="24"/>
      <c r="BR105" s="21"/>
      <c r="BS105" s="21"/>
      <c r="BT105" s="21"/>
      <c r="BU105" s="24"/>
      <c r="BV105" s="21"/>
      <c r="BW105" s="22">
        <v>16.0</v>
      </c>
      <c r="BX105" s="20">
        <v>4.0</v>
      </c>
      <c r="BY105" s="21">
        <f>IFERROR(BX105/BW105,"")</f>
        <v>0.25</v>
      </c>
      <c r="BZ105" s="24">
        <v>1.25</v>
      </c>
      <c r="CA105" s="21">
        <v>0.4</v>
      </c>
      <c r="CB105" s="24">
        <v>4.066666666666666</v>
      </c>
      <c r="CC105" s="21">
        <v>0.0</v>
      </c>
      <c r="CD105" s="21">
        <v>0.0</v>
      </c>
      <c r="CE105" s="21">
        <v>0.9375</v>
      </c>
      <c r="CF105" s="24"/>
      <c r="CG105" s="21"/>
    </row>
    <row r="106" ht="14.25"/>
    <row r="107" spans="2:2" ht="14.25">
      <c r="B107" t="s">
        <v>29</v>
      </c>
    </row>
    <row r="108" spans="2:2" ht="14.25">
      <c r="B108" t="s">
        <v>30</v>
      </c>
    </row>
    <row r="109" spans="2:2" ht="14.25">
      <c r="B109" t="s">
        <v>64</v>
      </c>
    </row>
    <row r="110" spans="2:2" ht="14.25">
      <c r="B110" t="s">
        <v>65</v>
      </c>
    </row>
    <row r="111" spans="2:2" ht="14.25">
      <c r="B111" t="s">
        <v>66</v>
      </c>
    </row>
    <row r="112" spans="2:2" ht="14.25">
      <c r="B112" t="s">
        <v>69</v>
      </c>
    </row>
    <row r="113" spans="2:2" ht="14.25">
      <c r="B113" t="s">
        <v>67</v>
      </c>
    </row>
    <row r="114" spans="2:2" ht="14.25">
      <c r="B114" t="s">
        <v>68</v>
      </c>
    </row>
    <row r="115" spans="2:2" ht="14.25">
      <c r="B115" t="s">
        <v>73</v>
      </c>
    </row>
    <row r="116" spans="2:2" ht="14.25">
      <c r="B116" t="s">
        <v>71</v>
      </c>
    </row>
    <row r="117" spans="2:2" ht="14.25">
      <c r="B117" t="s">
        <v>74</v>
      </c>
    </row>
    <row r="118" spans="2:2" ht="14.25">
      <c r="B118" t="s">
        <v>75</v>
      </c>
    </row>
    <row r="119" spans="2:2" ht="14.25">
      <c r="B119" t="s">
        <v>77</v>
      </c>
    </row>
    <row r="120" spans="2:2" ht="14.25">
      <c r="B120" t="s">
        <v>76</v>
      </c>
    </row>
    <row r="121" spans="2:2" ht="14.25">
      <c r="B121" t="s">
        <v>78</v>
      </c>
    </row>
    <row r="122" spans="2:2" ht="14.25">
      <c r="B122" t="s">
        <v>80</v>
      </c>
    </row>
  </sheetData>
  <mergeCells count="69">
    <mergeCell ref="C2:D2"/>
    <mergeCell ref="E2:F2"/>
    <mergeCell ref="G2:H2"/>
    <mergeCell ref="I2:J2"/>
    <mergeCell ref="K2:L2"/>
    <mergeCell ref="M2:N2"/>
    <mergeCell ref="U2:V2"/>
    <mergeCell ref="AI2:AJ2"/>
    <mergeCell ref="AK2:AN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AI4"/>
    <mergeCell ref="AJ4:AW4"/>
    <mergeCell ref="AX4:BK4"/>
    <mergeCell ref="BL4:BV4"/>
    <mergeCell ref="BW4:CG4"/>
    <mergeCell ref="U5:U6"/>
    <mergeCell ref="V5:V6"/>
    <mergeCell ref="W5:W6"/>
    <mergeCell ref="X5:X6"/>
    <mergeCell ref="Y5:Y6"/>
    <mergeCell ref="Z5:AD5"/>
    <mergeCell ref="AE5:AI5"/>
    <mergeCell ref="AJ5:AJ6"/>
    <mergeCell ref="AK5:AK6"/>
    <mergeCell ref="AL5:AL6"/>
    <mergeCell ref="AM5:AM6"/>
    <mergeCell ref="AN5:AR5"/>
    <mergeCell ref="AS5:AW5"/>
    <mergeCell ref="AX5:AX6"/>
    <mergeCell ref="AY5:AY6"/>
    <mergeCell ref="AZ5:AZ6"/>
    <mergeCell ref="BA5:BA6"/>
    <mergeCell ref="BB5:BF5"/>
    <mergeCell ref="BG5:BK5"/>
    <mergeCell ref="BL5:BL6"/>
    <mergeCell ref="BM5:BQ5"/>
    <mergeCell ref="BR5:BV5"/>
    <mergeCell ref="BW5:BW6"/>
    <mergeCell ref="BX5:CB5"/>
    <mergeCell ref="CC5:CG5"/>
    <mergeCell ref="A7:A16"/>
    <mergeCell ref="A18:A105"/>
    <mergeCell ref="B18:B23"/>
    <mergeCell ref="B24:B37"/>
    <mergeCell ref="B38:B53"/>
    <mergeCell ref="B54:B63"/>
    <mergeCell ref="B64:B75"/>
    <mergeCell ref="B76:B84"/>
    <mergeCell ref="B85:B95"/>
    <mergeCell ref="B96:B102"/>
    <mergeCell ref="B103:B105"/>
  </mergeCells>
  <conditionalFormatting sqref="E7:E16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18:E105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7:L105">
    <cfRule type="cellIs" priority="18" dxfId="0" operator="greaterThan">
      <formula>0</formula>
    </cfRule>
  </conditionalFormatting>
  <conditionalFormatting sqref="M17:N17 R106:AG122 BU106:CE122">
    <cfRule type="cellIs" priority="12" dxfId="1" operator="lessThanOrEqual">
      <formula>0</formula>
    </cfRule>
    <cfRule type="cellIs" priority="13" dxfId="0" operator="greaterThan">
      <formula>0</formula>
    </cfRule>
  </conditionalFormatting>
  <conditionalFormatting sqref="R7:R17">
    <cfRule type="colorScale" priority="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8:R105">
    <cfRule type="colorScale" priority="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1:AG1 R3:AG3 T7:T105 U17:AI17">
    <cfRule type="cellIs" priority="19" dxfId="1" operator="lessThanOrEqual">
      <formula>0</formula>
    </cfRule>
    <cfRule type="cellIs" priority="20" dxfId="0" operator="greaterThan">
      <formula>0</formula>
    </cfRule>
  </conditionalFormatting>
  <conditionalFormatting sqref="AA7:AA105">
    <cfRule type="dataBar" priority="35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{881cbd9c-955a-40db-8d17-9554d0bef6c6}</x14:id>
        </ext>
      </extLst>
    </cfRule>
  </conditionalFormatting>
  <conditionalFormatting sqref="AC7:AC105">
    <cfRule type="dataBar" priority="34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{aff14b48-a639-438e-ba24-f4b4adb85665}</x14:id>
        </ext>
      </extLst>
    </cfRule>
  </conditionalFormatting>
  <conditionalFormatting sqref="AE7:AF105">
    <cfRule type="dataBar" priority="33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{c2fa94d2-9429-468a-bbee-67a29ffecc1e}</x14:id>
        </ext>
      </extLst>
    </cfRule>
  </conditionalFormatting>
  <conditionalFormatting sqref="AI7:AI105">
    <cfRule type="dataBar" priority="32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{45c60ebb-aae1-4f50-bf3f-1cf26057d6d7}</x14:id>
        </ext>
      </extLst>
    </cfRule>
  </conditionalFormatting>
  <conditionalFormatting sqref="AM7:AM17">
    <cfRule type="colorScale" priority="4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18:AM105">
    <cfRule type="colorScale" priority="4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O7:AO17">
    <cfRule type="dataBar" priority="29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{d389243b-b957-4e3c-bf6a-10c37c0a57ed}</x14:id>
        </ext>
      </extLst>
    </cfRule>
  </conditionalFormatting>
  <conditionalFormatting sqref="AO18:AO105">
    <cfRule type="dataBar" priority="28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{369d0fc1-b556-47a4-8422-8137110c19d2}</x14:id>
        </ext>
      </extLst>
    </cfRule>
  </conditionalFormatting>
  <conditionalFormatting sqref="AQ7:AQ17">
    <cfRule type="dataBar" priority="27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{6b569cd8-3b3d-4aff-8daf-49a7f51f6325}</x14:id>
        </ext>
      </extLst>
    </cfRule>
  </conditionalFormatting>
  <conditionalFormatting sqref="AQ18:AQ105">
    <cfRule type="dataBar" priority="26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{2d31b6a8-2f39-4640-b47b-3b6e31f9c459}</x14:id>
        </ext>
      </extLst>
    </cfRule>
  </conditionalFormatting>
  <conditionalFormatting sqref="AS7:AT17">
    <cfRule type="dataBar" priority="25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{f3972127-147a-45fb-b89c-ec99a9e22483}</x14:id>
        </ext>
      </extLst>
    </cfRule>
  </conditionalFormatting>
  <conditionalFormatting sqref="AS18:AT105">
    <cfRule type="dataBar" priority="24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{a723098d-ba81-4a1b-b765-752a2f232d2e}</x14:id>
        </ext>
      </extLst>
    </cfRule>
  </conditionalFormatting>
  <conditionalFormatting sqref="AW7:AW17">
    <cfRule type="dataBar" priority="23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{b1c207b2-b9eb-4f54-87f1-a88c95a93a2b}</x14:id>
        </ext>
      </extLst>
    </cfRule>
  </conditionalFormatting>
  <conditionalFormatting sqref="AW18:AW105">
    <cfRule type="dataBar" priority="22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{897a6780-594d-40f9-b3ea-01063f3f909b}</x14:id>
        </ext>
      </extLst>
    </cfRule>
  </conditionalFormatting>
  <conditionalFormatting sqref="BA7:BA17">
    <cfRule type="colorScale" priority="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18:BA105">
    <cfRule type="colorScale" priority="5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7:BC17">
    <cfRule type="dataBar" priority="19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{96c6199b-3529-4abf-8c9f-a7e435c72692}</x14:id>
        </ext>
      </extLst>
    </cfRule>
  </conditionalFormatting>
  <conditionalFormatting sqref="BC18:BC105">
    <cfRule type="dataBar" priority="18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{408a99e4-ba28-4c0b-8571-8e0827b65085}</x14:id>
        </ext>
      </extLst>
    </cfRule>
  </conditionalFormatting>
  <conditionalFormatting sqref="BE7:BE17">
    <cfRule type="dataBar" priority="17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{26583156-109c-4d1f-be85-e8f9b557f6a4}</x14:id>
        </ext>
      </extLst>
    </cfRule>
  </conditionalFormatting>
  <conditionalFormatting sqref="BE18:BE105">
    <cfRule type="dataBar" priority="16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{635c3c8b-2416-44b4-b024-9cbdeb5e482b}</x14:id>
        </ext>
      </extLst>
    </cfRule>
  </conditionalFormatting>
  <conditionalFormatting sqref="BG7:BH17">
    <cfRule type="dataBar" priority="15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{945c349f-189c-464a-a7ec-6018dc74da87}</x14:id>
        </ext>
      </extLst>
    </cfRule>
  </conditionalFormatting>
  <conditionalFormatting sqref="BG18:BH105">
    <cfRule type="dataBar" priority="14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{c88e6431-fc33-42e2-8198-0bab843ac092}</x14:id>
        </ext>
      </extLst>
    </cfRule>
  </conditionalFormatting>
  <conditionalFormatting sqref="BK7:BK17">
    <cfRule type="dataBar" priority="13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{1987fe18-8c1b-457c-8f0c-c7c943cccc35}</x14:id>
        </ext>
      </extLst>
    </cfRule>
  </conditionalFormatting>
  <conditionalFormatting sqref="BK18:BK105">
    <cfRule type="dataBar" priority="12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{7260c93f-f9a0-4401-8e5f-9c0601127478}</x14:id>
        </ext>
      </extLst>
    </cfRule>
  </conditionalFormatting>
  <conditionalFormatting sqref="BN7:BN105">
    <cfRule type="dataBar" priority="11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{47c5bdd8-97ea-4fe9-b160-7ad67ed25889}</x14:id>
        </ext>
      </extLst>
    </cfRule>
  </conditionalFormatting>
  <conditionalFormatting sqref="BP7:BP105">
    <cfRule type="dataBar" priority="10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{02115b1f-fc17-4b16-a87f-c41370cd8468}</x14:id>
        </ext>
      </extLst>
    </cfRule>
  </conditionalFormatting>
  <conditionalFormatting sqref="BR7:BS105">
    <cfRule type="dataBar" priority="9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{adf0761d-ca52-44ff-abca-a40887dda860}</x14:id>
        </ext>
      </extLst>
    </cfRule>
  </conditionalFormatting>
  <conditionalFormatting sqref="BV7:BV105">
    <cfRule type="dataBar" priority="8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{973f5d19-c183-4977-9d44-b1c526b78640}</x14:id>
        </ext>
      </extLst>
    </cfRule>
  </conditionalFormatting>
  <conditionalFormatting sqref="BU1:CE1 BU3:CE3 BW17:CG17">
    <cfRule type="cellIs" priority="2" dxfId="1" operator="lessThanOrEqual">
      <formula>0</formula>
    </cfRule>
    <cfRule type="cellIs" priority="3" dxfId="0" operator="greaterThan">
      <formula>0</formula>
    </cfRule>
  </conditionalFormatting>
  <conditionalFormatting sqref="BY7:BY105">
    <cfRule type="dataBar" priority="5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{10aeb5f1-2bf4-4635-958f-fa7b69e2f64b}</x14:id>
        </ext>
      </extLst>
    </cfRule>
  </conditionalFormatting>
  <conditionalFormatting sqref="CA7:CA105">
    <cfRule type="dataBar" priority="4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{137130a2-fba8-4447-8011-1cfe12487842}</x14:id>
        </ext>
      </extLst>
    </cfRule>
  </conditionalFormatting>
  <conditionalFormatting sqref="CC7:CD105">
    <cfRule type="dataBar" priority="3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{aef5c16e-83ca-4cc2-be11-04151afdda4c}</x14:id>
        </ext>
      </extLst>
    </cfRule>
  </conditionalFormatting>
  <conditionalFormatting sqref="CG7:CG105">
    <cfRule type="dataBar" priority="2" dxfId="7">
      <dataBar minLength="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{a3b87bb1-0b1a-4ec4-83da-6c1c43d14c37}</x14:id>
        </ext>
      </extLst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cbd9c-955a-40db-8d17-9554d0bef6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AA7:AA105</xm:sqref>
        </x14:conditionalFormatting>
        <x14:conditionalFormatting xmlns:xm="http://schemas.microsoft.com/office/excel/2006/main">
          <x14:cfRule type="dataBar" id="{aff14b48-a639-438e-ba24-f4b4adb856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AC7:AC105</xm:sqref>
        </x14:conditionalFormatting>
        <x14:conditionalFormatting xmlns:xm="http://schemas.microsoft.com/office/excel/2006/main">
          <x14:cfRule type="dataBar" id="{c2fa94d2-9429-468a-bbee-67a29ffecc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AE7:AF105</xm:sqref>
        </x14:conditionalFormatting>
        <x14:conditionalFormatting xmlns:xm="http://schemas.microsoft.com/office/excel/2006/main">
          <x14:cfRule type="dataBar" id="{45c60ebb-aae1-4f50-bf3f-1cf26057d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AI7:AI105</xm:sqref>
        </x14:conditionalFormatting>
        <x14:conditionalFormatting xmlns:xm="http://schemas.microsoft.com/office/excel/2006/main">
          <x14:cfRule type="dataBar" id="{d389243b-b957-4e3c-bf6a-10c37c0a5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AO7:AO17</xm:sqref>
        </x14:conditionalFormatting>
        <x14:conditionalFormatting xmlns:xm="http://schemas.microsoft.com/office/excel/2006/main">
          <x14:cfRule type="dataBar" id="{369d0fc1-b556-47a4-8422-8137110c19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AO18:AO105</xm:sqref>
        </x14:conditionalFormatting>
        <x14:conditionalFormatting xmlns:xm="http://schemas.microsoft.com/office/excel/2006/main">
          <x14:cfRule type="dataBar" id="{6b569cd8-3b3d-4aff-8daf-49a7f51f6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AQ7:AQ17</xm:sqref>
        </x14:conditionalFormatting>
        <x14:conditionalFormatting xmlns:xm="http://schemas.microsoft.com/office/excel/2006/main">
          <x14:cfRule type="dataBar" id="{2d31b6a8-2f39-4640-b47b-3b6e31f9c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AQ18:AQ105</xm:sqref>
        </x14:conditionalFormatting>
        <x14:conditionalFormatting xmlns:xm="http://schemas.microsoft.com/office/excel/2006/main">
          <x14:cfRule type="dataBar" id="{f3972127-147a-45fb-b89c-ec99a9e22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AS7:AT17</xm:sqref>
        </x14:conditionalFormatting>
        <x14:conditionalFormatting xmlns:xm="http://schemas.microsoft.com/office/excel/2006/main">
          <x14:cfRule type="dataBar" id="{a723098d-ba81-4a1b-b765-752a2f232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AS18:AT105</xm:sqref>
        </x14:conditionalFormatting>
        <x14:conditionalFormatting xmlns:xm="http://schemas.microsoft.com/office/excel/2006/main">
          <x14:cfRule type="dataBar" id="{b1c207b2-b9eb-4f54-87f1-a88c95a93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AW7:AW17</xm:sqref>
        </x14:conditionalFormatting>
        <x14:conditionalFormatting xmlns:xm="http://schemas.microsoft.com/office/excel/2006/main">
          <x14:cfRule type="dataBar" id="{897a6780-594d-40f9-b3ea-01063f3f90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AW18:AW105</xm:sqref>
        </x14:conditionalFormatting>
        <x14:conditionalFormatting xmlns:xm="http://schemas.microsoft.com/office/excel/2006/main">
          <x14:cfRule type="dataBar" id="{96c6199b-3529-4abf-8c9f-a7e435c72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BC7:BC17</xm:sqref>
        </x14:conditionalFormatting>
        <x14:conditionalFormatting xmlns:xm="http://schemas.microsoft.com/office/excel/2006/main">
          <x14:cfRule type="dataBar" id="{408a99e4-ba28-4c0b-8571-8e0827b650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BC18:BC105</xm:sqref>
        </x14:conditionalFormatting>
        <x14:conditionalFormatting xmlns:xm="http://schemas.microsoft.com/office/excel/2006/main">
          <x14:cfRule type="dataBar" id="{26583156-109c-4d1f-be85-e8f9b557f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BE7:BE17</xm:sqref>
        </x14:conditionalFormatting>
        <x14:conditionalFormatting xmlns:xm="http://schemas.microsoft.com/office/excel/2006/main">
          <x14:cfRule type="dataBar" id="{635c3c8b-2416-44b4-b024-9cbdeb5e4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BE18:BE105</xm:sqref>
        </x14:conditionalFormatting>
        <x14:conditionalFormatting xmlns:xm="http://schemas.microsoft.com/office/excel/2006/main">
          <x14:cfRule type="dataBar" id="{945c349f-189c-464a-a7ec-6018dc74d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BG7:BH17</xm:sqref>
        </x14:conditionalFormatting>
        <x14:conditionalFormatting xmlns:xm="http://schemas.microsoft.com/office/excel/2006/main">
          <x14:cfRule type="dataBar" id="{c88e6431-fc33-42e2-8198-0bab843ac0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BG18:BH105</xm:sqref>
        </x14:conditionalFormatting>
        <x14:conditionalFormatting xmlns:xm="http://schemas.microsoft.com/office/excel/2006/main">
          <x14:cfRule type="dataBar" id="{1987fe18-8c1b-457c-8f0c-c7c943cccc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BK7:BK17</xm:sqref>
        </x14:conditionalFormatting>
        <x14:conditionalFormatting xmlns:xm="http://schemas.microsoft.com/office/excel/2006/main">
          <x14:cfRule type="dataBar" id="{7260c93f-f9a0-4401-8e5f-9c06011274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BK18:BK105</xm:sqref>
        </x14:conditionalFormatting>
        <x14:conditionalFormatting xmlns:xm="http://schemas.microsoft.com/office/excel/2006/main">
          <x14:cfRule type="dataBar" id="{47c5bdd8-97ea-4fe9-b160-7ad67ed25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BN7:BN105</xm:sqref>
        </x14:conditionalFormatting>
        <x14:conditionalFormatting xmlns:xm="http://schemas.microsoft.com/office/excel/2006/main">
          <x14:cfRule type="dataBar" id="{02115b1f-fc17-4b16-a87f-c41370cd84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BP7:BP105</xm:sqref>
        </x14:conditionalFormatting>
        <x14:conditionalFormatting xmlns:xm="http://schemas.microsoft.com/office/excel/2006/main">
          <x14:cfRule type="dataBar" id="{adf0761d-ca52-44ff-abca-a40887dda8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BR7:BS105</xm:sqref>
        </x14:conditionalFormatting>
        <x14:conditionalFormatting xmlns:xm="http://schemas.microsoft.com/office/excel/2006/main">
          <x14:cfRule type="dataBar" id="{973f5d19-c183-4977-9d44-b1c526b7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BV7:BV105</xm:sqref>
        </x14:conditionalFormatting>
        <x14:conditionalFormatting xmlns:xm="http://schemas.microsoft.com/office/excel/2006/main">
          <x14:cfRule type="dataBar" id="{10aeb5f1-2bf4-4635-958f-fa7b69e2f6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BY7:BY105</xm:sqref>
        </x14:conditionalFormatting>
        <x14:conditionalFormatting xmlns:xm="http://schemas.microsoft.com/office/excel/2006/main">
          <x14:cfRule type="dataBar" id="{137130a2-fba8-4447-8011-1cfe12487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CA7:CA105</xm:sqref>
        </x14:conditionalFormatting>
        <x14:conditionalFormatting xmlns:xm="http://schemas.microsoft.com/office/excel/2006/main">
          <x14:cfRule type="dataBar" id="{aef5c16e-83ca-4cc2-be11-04151afdd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CC7:CD105</xm:sqref>
        </x14:conditionalFormatting>
        <x14:conditionalFormatting xmlns:xm="http://schemas.microsoft.com/office/excel/2006/main">
          <x14:cfRule type="dataBar" id="{a3b87bb1-0b1a-4ec4-83da-6c1c43d14c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  <x14:dxf/>
          </x14:cfRule>
          <xm:sqref>CG7:CG105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廖雨莹</dc:creator>
  <cp:keywords/>
  <dc:description/>
  <cp:lastModifiedBy>刘秀芳</cp:lastModifiedBy>
  <dcterms:created xsi:type="dcterms:W3CDTF">2023-11-30T09:28:13Z</dcterms:created>
  <dcterms:modified xsi:type="dcterms:W3CDTF">2026-05-20T07:39:08Z</dcterms:modified>
  <cp:category/>
</cp:coreProperties>
</file>