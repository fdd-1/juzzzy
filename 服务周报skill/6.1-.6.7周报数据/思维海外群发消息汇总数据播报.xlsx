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26480c79b734933a2ed96a9d90ca369" hidden="1" comment="SSRRANGE">Sheet1!$W$5</definedName>
    <definedName name="_1ab2121c8cbf42f3ac853a8e3100561b" hidden="1" comment="SSRRANGE">Sheet1!$I$5</definedName>
    <definedName name="_1cf2710e8dc74a86ba5a3058dac83c42" hidden="1" comment="SSRRANGE">Sheet1!$P$15</definedName>
    <definedName name="_244116dfa5424231b94c224fb46d6d97" hidden="1" comment="SSRRANGE">Sheet1!$T$5</definedName>
    <definedName name="_360d19fcdcbf455a9a8301cd95f5dfbb" hidden="1" comment="SSRRANGE">Sheet1!$Z$5</definedName>
    <definedName name="_3650d5ed90484d7a891944ced2c46974" hidden="1" comment="SSRRANGE">Sheet1!$O$5</definedName>
    <definedName name="_37df9d2ba1be41e4b8e4b224c7607c09" hidden="1" comment="SSRRANGE">Sheet1!$J$5</definedName>
    <definedName name="_5cf03d151be14802b08607aff1f53d21" hidden="1" comment="SSRRANGE">Sheet1!$K$5</definedName>
    <definedName name="_64415bfad3f844cc910de6a8d64ce530" hidden="1" comment="SSRRANGE">Sheet1!$N$5</definedName>
    <definedName name="_82361602e6484ad986091ef2add7aa0e" hidden="1" comment="SSRRANGE">Sheet1!$C$15</definedName>
    <definedName name="_8583f28901e7418c8d94b3177ec628be" hidden="1" comment="SSRRANGE">Sheet1!$Q$5</definedName>
    <definedName name="_87ddbac691c848fcadb79d1480ad189b" hidden="1" comment="SSRRANGE">Sheet1!$U$5</definedName>
    <definedName name="_88727c73e688489d87b6aef38a3b8f7c" hidden="1" comment="SSRRANGE">Sheet1!$AA$5</definedName>
    <definedName name="_889bf1196fe740f99c2ff8978b1451f5" hidden="1" comment="SSRRANGE">Sheet1!$F$5</definedName>
    <definedName name="_9233f36a60d0403480c7b7d7fc454774" hidden="1" comment="SSRRANGE">Sheet1!$Y$5</definedName>
    <definedName name="_a4bc5a9d7a46430f9969cf99dcf3559c" hidden="1" comment="SSRRANGE">Sheet1!$X$5</definedName>
    <definedName name="_ab33db9ad07149b0874f828e18e51f2d" hidden="1" comment="SSRRANGE">Sheet1!$D$5</definedName>
    <definedName name="_ab83a733beb54388bd7851e9565fe065" hidden="1" comment="SSRRANGE">Sheet1!$M$5</definedName>
    <definedName name="_b4906473778944acbbe9601bb276d729" hidden="1" comment="SSRRANGE">Sheet1!$R$15</definedName>
    <definedName name="_c3549fe7d42a454f9bd9dfb5a72eac57" hidden="1" comment="SSRRANGE">Sheet1!$AB$5</definedName>
    <definedName name="_d44f9da6a58145b2824f9242b1ff2157" hidden="1" comment="SSRRANGE">Sheet1!$L$5</definedName>
    <definedName name="_e23bca8388804fb8aad50727b88cedec" hidden="1" comment="SSRRANGE">Sheet1!$G$5</definedName>
    <definedName name="_ef01588a57da47a79d081740265539f9" hidden="1" comment="SSRRANGE">Sheet1!$B$5</definedName>
    <definedName name="_f2568d2502fd493d90354c93bb6bf70d" hidden="1" comment="SSRRANGE">Sheet1!$V$5</definedName>
    <definedName name="_f4f31792ed814c288a59ce0c2f580b83" hidden="1" comment="SSRRANGE">Sheet1!$E$5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6" i="1" l="1"/>
</calcChain>
</file>

<file path=xl/sharedStrings.xml><?xml version="1.0" encoding="utf-8"?>
<sst xmlns="http://schemas.openxmlformats.org/spreadsheetml/2006/main" count="171" uniqueCount="154">
  <si>
    <t>小组</t>
  </si>
  <si>
    <t>负责人/LP姓名</t>
  </si>
  <si>
    <t>营销类LP群发-汇总</t>
  </si>
  <si>
    <t>群发消息数</t>
  </si>
  <si>
    <t>环比上月</t>
  </si>
  <si>
    <t>个人群发消息数</t>
  </si>
  <si>
    <t>个人群发占比</t>
  </si>
  <si>
    <t>群发学员数</t>
  </si>
  <si>
    <t>营销类LP群发-重复内容</t>
  </si>
  <si>
    <t>续费</t>
  </si>
  <si>
    <t>转介绍</t>
  </si>
  <si>
    <t>拓美术</t>
  </si>
  <si>
    <t>拓叫叫</t>
  </si>
  <si>
    <t>拓英语</t>
  </si>
  <si>
    <t>服务类LP群发-汇总</t>
  </si>
  <si>
    <t>服务类LP群发-重复内容</t>
  </si>
  <si>
    <t>通知-学员流转</t>
  </si>
  <si>
    <t>服务-学员流转</t>
  </si>
  <si>
    <t>服务-问卷调查</t>
  </si>
  <si>
    <t>服务-节日祝福</t>
  </si>
  <si>
    <t>服务-停课通知</t>
  </si>
  <si>
    <t>学习总结</t>
  </si>
  <si>
    <t>打卡</t>
  </si>
  <si>
    <t>其他LP群发-重复内容（*无法根据关键词判断场景</t>
  </si>
  <si>
    <t>毕金玲</t>
  </si>
  <si>
    <t>2026-06-07</t>
  </si>
  <si>
    <t>刘博</t>
  </si>
  <si>
    <t>高庆兰</t>
  </si>
  <si>
    <t>口径说明:</t>
  </si>
  <si>
    <t>1、消息类型=文本</t>
  </si>
  <si>
    <t>2、消息内容文本长度&gt;8</t>
  </si>
  <si>
    <t>3、消息发送人=班主任，接收人=学生</t>
  </si>
  <si>
    <t>4、每日消息发送总次数&gt;20</t>
  </si>
  <si>
    <t>5、场景判断逻辑均为关键词判断</t>
  </si>
  <si>
    <t>备注：</t>
  </si>
  <si>
    <t>1）系统配置的打卡的个性化群发、续费带R的自动群发均不包含在该报表内（当月系统群发成功的消息内容包含聊天内容则剔除）</t>
  </si>
  <si>
    <t>2）涉及到消息的指标均为按照消息内容去重统计</t>
  </si>
  <si>
    <t>场景判断关键词具体如下：</t>
  </si>
  <si>
    <t>1、续费</t>
  </si>
  <si>
    <t>关键词： 续费 续课 优惠 满减 涨价 上调 定金 特惠 钜惠 立减 单价 低价 早鸟 升舱 预售 预定 课包 价格 支付 抽奖 补贴 升阶 避免给您造成损失 升到新的级别 升新的级别 升新级别 红包 大促 升级新课件 方案 升级 618</t>
  </si>
  <si>
    <t>粤语关键词： 續費 續課 優惠 滿減 漲價 上調 定金 特惠 鉅惠 立減 單價 低價 早鳥 升艙 預售 預定 課包 價格 支付 抽獎 補貼 升階 避免畀你造成損失 升到新嘅級別 升新嘅級別 升新級別 利是 大促 升級新課件 方案 升級 618</t>
  </si>
  <si>
    <t>2、拓美术</t>
  </si>
  <si>
    <t>关键词： 美术 画啦啦 上过的也可以选择新的主题</t>
  </si>
  <si>
    <t>粤语关键词： 美術 畫啦啦 上過嘅也可以選擇新嘅主題</t>
  </si>
  <si>
    <t>3、拓叫叫</t>
  </si>
  <si>
    <t>关键词： 中文 叫叫</t>
  </si>
  <si>
    <t>粤语关键词：</t>
  </si>
  <si>
    <t>4、拓英语</t>
  </si>
  <si>
    <t>关键词： 英语</t>
  </si>
  <si>
    <t>粤语关键词： 英語</t>
  </si>
  <si>
    <t>5、转介绍</t>
  </si>
  <si>
    <t>关键词： 试听 邀请 介绍 推荐 领取一下 登记 手机号 手机号码 电话 电话号 电话号码 礼物 礼品 3-11 体验 二宝 大宝 小宝</t>
  </si>
  <si>
    <t>粤语关键词： 試聽 邀請 介紹 推薦 領攞一下 登記 手機號 手機號碼 電話 電話號 電話號碼 手信 禮品 3-11 體驗 二寶 大寶 小寶</t>
  </si>
  <si>
    <t>6、通知-学员流转</t>
  </si>
  <si>
    <t>关键词： 将接替我的工作</t>
  </si>
  <si>
    <t>7、服务-学员流转</t>
  </si>
  <si>
    <t>关键词： 新老师 新班主任 遗留问题 负责</t>
  </si>
  <si>
    <t>粤语关键词： 新老師 新班主任 遺留問題 負責</t>
  </si>
  <si>
    <t>8、服务-问卷调查</t>
  </si>
  <si>
    <t>关键词： wjx</t>
  </si>
  <si>
    <t>9、服务-节日祝福</t>
  </si>
  <si>
    <t>关键词： 母亲节 儿童节 春节 圣诞节</t>
  </si>
  <si>
    <t>粤语关键词： 母親節 兒童節 春節 聖誕節</t>
  </si>
  <si>
    <t>10、服务-停课通知</t>
  </si>
  <si>
    <t>关键词： 停课</t>
  </si>
  <si>
    <t>粤语关键词： 停課</t>
  </si>
  <si>
    <t>11、学习总结</t>
  </si>
  <si>
    <t>关键词： 总结 复盘</t>
  </si>
  <si>
    <t>粤语关键词： 總結 復盤</t>
  </si>
  <si>
    <t>12、打卡提醒</t>
  </si>
  <si>
    <t>关键词： 打卡海报 还未打卡</t>
  </si>
  <si>
    <t>粤语关键词： 打卡海報 還未打卡</t>
  </si>
  <si>
    <t>13、其他</t>
  </si>
  <si>
    <t>6、个人群发：单条重复消息发送的LP数为1</t>
  </si>
  <si>
    <t>开始时间</t>
  </si>
  <si>
    <t>结束时间</t>
  </si>
  <si>
    <t>2026-06-01</t>
  </si>
  <si>
    <t>海外团队</t>
  </si>
  <si>
    <t>总计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</si>
  <si>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</si>
  <si>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</si>
  <si>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</si>
  <si>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</si>
  <si>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</si>
  <si>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</si>
  <si>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</si>
  <si>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</si>
  <si>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</si>
  <si>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</si>
  <si>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</si>
  <si>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</si>
  <si>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</si>
  <si>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</si>
  <si>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</si>
  <si>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李颖杰</t>
  </si>
  <si>
    <t>林明怡</t>
  </si>
  <si>
    <t>阮锦霞</t>
  </si>
  <si>
    <t>邝仪森</t>
  </si>
  <si>
    <t>王柏涛</t>
  </si>
  <si>
    <t>罗庆环</t>
  </si>
  <si>
    <t>何宛霖</t>
  </si>
  <si>
    <t>麦小乐</t>
  </si>
  <si>
    <t>简海玲</t>
  </si>
  <si>
    <t>王一强</t>
  </si>
  <si>
    <t>刘静然</t>
  </si>
  <si>
    <t>李书悦</t>
  </si>
  <si>
    <t>朱肖朋</t>
  </si>
  <si>
    <t>芦小珍</t>
  </si>
  <si>
    <t>尤鹤</t>
  </si>
  <si>
    <t>郭欣怡</t>
  </si>
  <si>
    <t>李佳佳</t>
  </si>
  <si>
    <t>王路</t>
  </si>
  <si>
    <t>阮忻妍</t>
  </si>
  <si>
    <t>杜婷婷</t>
  </si>
  <si>
    <t>王新宇</t>
  </si>
  <si>
    <t>孟瑶</t>
  </si>
  <si>
    <t>王小苗</t>
  </si>
  <si>
    <t>刘明飞</t>
  </si>
  <si>
    <t>王彦</t>
  </si>
  <si>
    <t>于淑艳</t>
  </si>
  <si>
    <t>万美美</t>
  </si>
  <si>
    <t>董筠宜</t>
  </si>
  <si>
    <t>王智文</t>
  </si>
  <si>
    <t>吴迪</t>
  </si>
  <si>
    <t>迟月</t>
  </si>
  <si>
    <t>孙鹏飞</t>
  </si>
  <si>
    <t>孙浩</t>
  </si>
  <si>
    <t>蔡图雅</t>
  </si>
  <si>
    <t>石晓杰</t>
  </si>
  <si>
    <t>张婷婷</t>
  </si>
  <si>
    <t>王爽</t>
  </si>
  <si>
    <t>王旭</t>
  </si>
  <si>
    <t>冷林鑫</t>
  </si>
  <si>
    <t>李松榕</t>
  </si>
  <si>
    <t>周子雅</t>
  </si>
  <si>
    <t>刘笑</t>
  </si>
  <si>
    <t>刘宇</t>
  </si>
  <si>
    <t>张弛</t>
  </si>
  <si>
    <t>刘岐峰</t>
  </si>
  <si>
    <t>敖勇</t>
  </si>
  <si>
    <t>刘彤</t>
  </si>
  <si>
    <t>田淇</t>
  </si>
  <si>
    <t>曲慧</t>
  </si>
  <si>
    <t>王晨</t>
  </si>
  <si>
    <t>韩明昭</t>
  </si>
  <si>
    <t>何况</t>
  </si>
  <si>
    <t>郭津池</t>
  </si>
  <si>
    <t>刘丹</t>
  </si>
  <si>
    <t>董思雨</t>
  </si>
  <si>
    <t>孙玮</t>
  </si>
  <si>
    <t>于晓薇</t>
  </si>
  <si>
    <t>李鑫</t>
  </si>
  <si>
    <t>于卓言</t>
  </si>
  <si>
    <t>李欣旭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</si>
</sst>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9"/>
      <color rgb="FF333333"/>
      <name val="微软雅黑"/>
      <family val="2"/>
      <charset val="-122"/>
    </font>
    <font>
      <sz val="11"/>
      <color rgb="FFFFFFFF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theme="2" tint="-0.0999599993228912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DB59-2219-4D8C-8FC7-0177D0FC9ECB}">
  <dimension ref="A1:AC126"/>
  <sheetViews>
    <sheetView tabSelected="1" workbookViewId="0" topLeftCell="A1">
      <pane xSplit="3" ySplit="4" topLeftCell="D5" activePane="bottomRight" state="frozen"/>
      <selection pane="topLeft" activeCell="A1" sqref="A1"/>
      <selection pane="bottomLeft" activeCell="A5" sqref="A5"/>
      <selection pane="topRight" activeCell="D1" sqref="D1"/>
      <selection pane="bottomRight" activeCell="H22" sqref="H22"/>
    </sheetView>
  </sheetViews>
  <sheetFormatPr defaultRowHeight="14.25"/>
  <cols>
    <col min="2" max="2" width="15" customWidth="1"/>
    <col min="3" max="3" width="14.25" customWidth="1"/>
    <col min="28" max="28" width="19" customWidth="1"/>
  </cols>
  <sheetData>
    <row r="1" spans="1:7" s="1" customFormat="1" ht="16.5">
      <c r="A1" s="1"/>
      <c r="B1" s="1" t="s">
        <v>74</v>
      </c>
      <c r="C1" s="1" t="s">
        <v>76</v>
      </c>
      <c r="D1" s="11" t="s">
        <v>75</v>
      </c>
      <c r="E1" s="11"/>
      <c r="F1" s="11" t="s">
        <v>25</v>
      </c>
      <c r="G1" s="11"/>
    </row>
    <row r="2" ht="14.25"/>
    <row r="3" spans="1:29" s="1" customFormat="1" ht="16.5">
      <c r="A3" s="1"/>
      <c r="B3" s="13" t="s">
        <v>0</v>
      </c>
      <c r="C3" s="14" t="s">
        <v>1</v>
      </c>
      <c r="D3" s="15" t="s">
        <v>2</v>
      </c>
      <c r="E3" s="15"/>
      <c r="F3" s="15"/>
      <c r="G3" s="15"/>
      <c r="H3" s="15"/>
      <c r="I3" s="15"/>
      <c r="J3" s="15" t="s">
        <v>8</v>
      </c>
      <c r="K3" s="15"/>
      <c r="L3" s="15"/>
      <c r="M3" s="15"/>
      <c r="N3" s="15"/>
      <c r="O3" s="16" t="s">
        <v>14</v>
      </c>
      <c r="P3" s="16"/>
      <c r="Q3" s="16"/>
      <c r="R3" s="16"/>
      <c r="S3" s="16"/>
      <c r="T3" s="16"/>
      <c r="U3" s="16" t="s">
        <v>15</v>
      </c>
      <c r="V3" s="16"/>
      <c r="W3" s="16"/>
      <c r="X3" s="16"/>
      <c r="Y3" s="16"/>
      <c r="Z3" s="16"/>
      <c r="AA3" s="16"/>
      <c r="AB3" s="12" t="s">
        <v>23</v>
      </c>
      <c r="AC3" s="10">
        <v>111.0</v>
      </c>
    </row>
    <row r="4" spans="1:28" s="2" customFormat="1" ht="27.75" customHeight="1">
      <c r="A4" s="2"/>
      <c r="B4" s="13"/>
      <c r="C4" s="14"/>
      <c r="D4" s="3" t="s">
        <v>3</v>
      </c>
      <c r="E4" s="3" t="s">
        <v>4</v>
      </c>
      <c r="F4" s="3" t="s">
        <v>5</v>
      </c>
      <c r="G4" s="3" t="s">
        <v>4</v>
      </c>
      <c r="H4" s="3" t="s">
        <v>6</v>
      </c>
      <c r="I4" s="3" t="s">
        <v>7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4" t="s">
        <v>3</v>
      </c>
      <c r="P4" s="4" t="s">
        <v>4</v>
      </c>
      <c r="Q4" s="4" t="s">
        <v>5</v>
      </c>
      <c r="R4" s="4" t="s">
        <v>4</v>
      </c>
      <c r="S4" s="4" t="s">
        <v>6</v>
      </c>
      <c r="T4" s="4" t="s">
        <v>7</v>
      </c>
      <c r="U4" s="4" t="s">
        <v>16</v>
      </c>
      <c r="V4" s="4" t="s">
        <v>17</v>
      </c>
      <c r="W4" s="4" t="s">
        <v>18</v>
      </c>
      <c r="X4" s="4" t="s">
        <v>19</v>
      </c>
      <c r="Y4" s="4" t="s">
        <v>20</v>
      </c>
      <c r="Z4" s="4" t="s">
        <v>21</v>
      </c>
      <c r="AA4" s="4" t="s">
        <v>22</v>
      </c>
      <c r="AB4" s="12"/>
    </row>
    <row r="5" spans="1:28" s="1" customFormat="1" ht="16.5">
      <c r="A5" s="1"/>
      <c r="B5" s="5" t="s">
        <v>77</v>
      </c>
      <c r="C5" s="5" t="s">
        <v>78</v>
      </c>
      <c r="D5" s="6">
        <v>31.0</v>
      </c>
      <c r="E5" s="7">
        <v>6.75</v>
      </c>
      <c r="F5" s="6">
        <v>17.0</v>
      </c>
      <c r="G5" s="7">
        <v>16.0</v>
      </c>
      <c r="H5" s="7">
        <f>IFERROR(F5/D5,"")</f>
        <v>0.5483870967741935</v>
      </c>
      <c r="I5" s="6">
        <v>4809.0</v>
      </c>
      <c r="J5" s="6">
        <v>25.0</v>
      </c>
      <c r="K5" s="6">
        <v>6.0</v>
      </c>
      <c r="L5" s="6">
        <v>0.0</v>
      </c>
      <c r="M5" s="6">
        <v>0.0</v>
      </c>
      <c r="N5" s="6">
        <v>0.0</v>
      </c>
      <c r="O5" s="6">
        <v>24.0</v>
      </c>
      <c r="P5" s="7">
        <v>-0.11111111111111116</v>
      </c>
      <c r="Q5" s="6">
        <v>4.0</v>
      </c>
      <c r="R5" s="7">
        <v>1.0</v>
      </c>
      <c r="S5" s="7">
        <f>IFERROR(Q5/O5,"")</f>
        <v>0.16666666666666666</v>
      </c>
      <c r="T5" s="6">
        <v>940.0</v>
      </c>
      <c r="U5" s="6">
        <v>24.0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0.0</v>
      </c>
      <c r="AB5" s="6">
        <v>1.0</v>
      </c>
    </row>
    <row r="6" spans="1:28" s="1" customFormat="1" ht="16.5">
      <c r="A6" s="1"/>
      <c r="B6" s="5" t="s">
        <v>79</v>
      </c>
      <c r="C6" s="5" t="s">
        <v>80</v>
      </c>
      <c r="D6" s="6">
        <v>1.0</v>
      </c>
      <c r="E6" s="7"/>
      <c r="F6" s="6">
        <v>0.0</v>
      </c>
      <c r="G6" s="7"/>
      <c r="H6" s="7">
        <f>IFERROR(F6/D6,"")</f>
        <v>0.0</v>
      </c>
      <c r="I6" s="6">
        <v>4.0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14.0</v>
      </c>
      <c r="P6" s="7">
        <v>3.666666666666667</v>
      </c>
      <c r="Q6" s="6">
        <v>0.0</v>
      </c>
      <c r="R6" s="7">
        <v>-1.0</v>
      </c>
      <c r="S6" s="7">
        <f>IFERROR(Q6/O6,"")</f>
        <v>0.0</v>
      </c>
      <c r="T6" s="6">
        <v>122.0</v>
      </c>
      <c r="U6" s="6">
        <v>14.0</v>
      </c>
      <c r="V6" s="6">
        <v>0.0</v>
      </c>
      <c r="W6" s="6">
        <v>0.0</v>
      </c>
      <c r="X6" s="6">
        <v>0.0</v>
      </c>
      <c r="Y6" s="6">
        <v>0.0</v>
      </c>
      <c r="Z6" s="6">
        <v>0.0</v>
      </c>
      <c r="AA6" s="6">
        <v>0.0</v>
      </c>
      <c r="AB6" s="6">
        <v>0.0</v>
      </c>
    </row>
    <row r="7" spans="1:28" s="1" customFormat="1" ht="16.5">
      <c r="A7" s="1"/>
      <c r="B7" s="5" t="s">
        <v>81</v>
      </c>
      <c r="C7" s="5" t="s">
        <v>82</v>
      </c>
      <c r="D7" s="6">
        <v>5.0</v>
      </c>
      <c r="E7" s="7"/>
      <c r="F7" s="6">
        <v>4.0</v>
      </c>
      <c r="G7" s="7"/>
      <c r="H7" s="7">
        <f>IFERROR(F7/D7,"")</f>
        <v>0.8</v>
      </c>
      <c r="I7" s="6">
        <v>327.0</v>
      </c>
      <c r="J7" s="6">
        <v>2.0</v>
      </c>
      <c r="K7" s="6">
        <v>3.0</v>
      </c>
      <c r="L7" s="6">
        <v>0.0</v>
      </c>
      <c r="M7" s="6">
        <v>0.0</v>
      </c>
      <c r="N7" s="6">
        <v>0.0</v>
      </c>
      <c r="O7" s="6">
        <v>14.0</v>
      </c>
      <c r="P7" s="7"/>
      <c r="Q7" s="6">
        <v>0.0</v>
      </c>
      <c r="R7" s="7"/>
      <c r="S7" s="7">
        <f>IFERROR(Q7/O7,"")</f>
        <v>0.0</v>
      </c>
      <c r="T7" s="6">
        <v>84.0</v>
      </c>
      <c r="U7" s="6">
        <v>14.0</v>
      </c>
      <c r="V7" s="6">
        <v>0.0</v>
      </c>
      <c r="W7" s="6">
        <v>0.0</v>
      </c>
      <c r="X7" s="6">
        <v>0.0</v>
      </c>
      <c r="Y7" s="6">
        <v>0.0</v>
      </c>
      <c r="Z7" s="6">
        <v>0.0</v>
      </c>
      <c r="AA7" s="6">
        <v>0.0</v>
      </c>
      <c r="AB7" s="6">
        <v>0.0</v>
      </c>
    </row>
    <row r="8" spans="1:28" s="1" customFormat="1" ht="16.5">
      <c r="A8" s="1"/>
      <c r="B8" s="5" t="s">
        <v>83</v>
      </c>
      <c r="C8" s="5" t="s">
        <v>84</v>
      </c>
      <c r="D8" s="6">
        <v>7.0</v>
      </c>
      <c r="E8" s="7">
        <v>2.5</v>
      </c>
      <c r="F8" s="6">
        <v>3.0</v>
      </c>
      <c r="G8" s="7">
        <v>2.0</v>
      </c>
      <c r="H8" s="7">
        <f>IFERROR(F8/D8,"")</f>
        <v>0.42857142857142855</v>
      </c>
      <c r="I8" s="6">
        <v>589.0</v>
      </c>
      <c r="J8" s="6">
        <v>6.0</v>
      </c>
      <c r="K8" s="6">
        <v>1.0</v>
      </c>
      <c r="L8" s="6">
        <v>0.0</v>
      </c>
      <c r="M8" s="6">
        <v>0.0</v>
      </c>
      <c r="N8" s="6">
        <v>0.0</v>
      </c>
      <c r="O8" s="6">
        <v>14.0</v>
      </c>
      <c r="P8" s="7">
        <v>2.5</v>
      </c>
      <c r="Q8" s="6">
        <v>0.0</v>
      </c>
      <c r="R8" s="7"/>
      <c r="S8" s="7">
        <f>IFERROR(Q8/O8,"")</f>
        <v>0.0</v>
      </c>
      <c r="T8" s="6">
        <v>259.0</v>
      </c>
      <c r="U8" s="6">
        <v>14.0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</row>
    <row r="9" spans="1:28" s="1" customFormat="1" ht="16.5">
      <c r="A9" s="1"/>
      <c r="B9" s="5" t="s">
        <v>85</v>
      </c>
      <c r="C9" s="5" t="s">
        <v>86</v>
      </c>
      <c r="D9" s="6">
        <v>11.0</v>
      </c>
      <c r="E9" s="7">
        <v>4.5</v>
      </c>
      <c r="F9" s="6">
        <v>5.0</v>
      </c>
      <c r="G9" s="7"/>
      <c r="H9" s="7">
        <f>IFERROR(F9/D9,"")</f>
        <v>0.45454545454545453</v>
      </c>
      <c r="I9" s="6">
        <v>1167.0</v>
      </c>
      <c r="J9" s="6">
        <v>10.0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7">
        <v>-1.0</v>
      </c>
      <c r="Q9" s="6">
        <v>0.0</v>
      </c>
      <c r="R9" s="7"/>
      <c r="S9" s="7" t="str">
        <f>IFERROR(Q9/O9,"")</f>
        <v/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0.0</v>
      </c>
      <c r="AB9" s="6">
        <v>1.0</v>
      </c>
    </row>
    <row r="10" spans="1:28" s="1" customFormat="1" ht="16.5">
      <c r="A10" s="1"/>
      <c r="B10" s="5" t="s">
        <v>87</v>
      </c>
      <c r="C10" s="5" t="s">
        <v>88</v>
      </c>
      <c r="D10" s="6">
        <v>12.0</v>
      </c>
      <c r="E10" s="7">
        <v>5.0</v>
      </c>
      <c r="F10" s="6">
        <v>4.0</v>
      </c>
      <c r="G10" s="7"/>
      <c r="H10" s="7">
        <f>IFERROR(F10/D10,"")</f>
        <v>0.3333333333333333</v>
      </c>
      <c r="I10" s="6">
        <v>1544.0</v>
      </c>
      <c r="J10" s="6">
        <v>10.0</v>
      </c>
      <c r="K10" s="6">
        <v>2.0</v>
      </c>
      <c r="L10" s="6">
        <v>0.0</v>
      </c>
      <c r="M10" s="6">
        <v>0.0</v>
      </c>
      <c r="N10" s="6">
        <v>0.0</v>
      </c>
      <c r="O10" s="6">
        <v>0.0</v>
      </c>
      <c r="P10" s="7">
        <v>-1.0</v>
      </c>
      <c r="Q10" s="6">
        <v>0.0</v>
      </c>
      <c r="R10" s="7"/>
      <c r="S10" s="7" t="str">
        <f>IFERROR(Q10/O10,"")</f>
        <v/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</row>
    <row r="11" spans="1:28" s="1" customFormat="1" ht="16.5">
      <c r="A11" s="1"/>
      <c r="B11" s="5" t="s">
        <v>89</v>
      </c>
      <c r="C11" s="5" t="s">
        <v>90</v>
      </c>
      <c r="D11" s="6">
        <v>7.0</v>
      </c>
      <c r="E11" s="7">
        <v>2.5</v>
      </c>
      <c r="F11" s="6">
        <v>0.0</v>
      </c>
      <c r="G11" s="7"/>
      <c r="H11" s="7">
        <f>IFERROR(F11/D11,"")</f>
        <v>0.0</v>
      </c>
      <c r="I11" s="6">
        <v>860.0</v>
      </c>
      <c r="J11" s="6">
        <v>6.0</v>
      </c>
      <c r="K11" s="6">
        <v>1.0</v>
      </c>
      <c r="L11" s="6">
        <v>0.0</v>
      </c>
      <c r="M11" s="6">
        <v>0.0</v>
      </c>
      <c r="N11" s="6">
        <v>0.0</v>
      </c>
      <c r="O11" s="6">
        <v>6.0</v>
      </c>
      <c r="P11" s="7">
        <v>-0.6666666666666667</v>
      </c>
      <c r="Q11" s="6">
        <v>0.0</v>
      </c>
      <c r="R11" s="7"/>
      <c r="S11" s="7">
        <f>IFERROR(Q11/O11,"")</f>
        <v>0.0</v>
      </c>
      <c r="T11" s="6">
        <v>213.0</v>
      </c>
      <c r="U11" s="6">
        <v>6.0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</row>
    <row r="12" spans="1:28" s="1" customFormat="1" ht="16.5">
      <c r="A12" s="1"/>
      <c r="B12" s="5" t="s">
        <v>91</v>
      </c>
      <c r="C12" s="5" t="s">
        <v>92</v>
      </c>
      <c r="D12" s="6">
        <v>3.0</v>
      </c>
      <c r="E12" s="7">
        <v>0.0</v>
      </c>
      <c r="F12" s="6">
        <v>1.0</v>
      </c>
      <c r="G12" s="7"/>
      <c r="H12" s="7">
        <f>IFERROR(F12/D12,"")</f>
        <v>0.3333333333333333</v>
      </c>
      <c r="I12" s="6">
        <v>132.0</v>
      </c>
      <c r="J12" s="6">
        <v>2.0</v>
      </c>
      <c r="K12" s="6">
        <v>1.0</v>
      </c>
      <c r="L12" s="6">
        <v>0.0</v>
      </c>
      <c r="M12" s="6">
        <v>0.0</v>
      </c>
      <c r="N12" s="6">
        <v>0.0</v>
      </c>
      <c r="O12" s="6">
        <v>6.0</v>
      </c>
      <c r="P12" s="7">
        <v>0.5</v>
      </c>
      <c r="Q12" s="6">
        <v>4.0</v>
      </c>
      <c r="R12" s="7">
        <v>3.0</v>
      </c>
      <c r="S12" s="7">
        <f>IFERROR(Q12/O12,"")</f>
        <v>0.6666666666666666</v>
      </c>
      <c r="T12" s="6">
        <v>262.0</v>
      </c>
      <c r="U12" s="6">
        <v>6.0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</row>
    <row r="13" spans="1:28" s="1" customFormat="1" ht="16.5">
      <c r="A13" s="1"/>
      <c r="B13" s="5" t="s">
        <v>93</v>
      </c>
      <c r="C13" s="5" t="s">
        <v>24</v>
      </c>
      <c r="D13" s="6">
        <v>2.0</v>
      </c>
      <c r="E13" s="7">
        <v>0.0</v>
      </c>
      <c r="F13" s="6">
        <v>0.0</v>
      </c>
      <c r="G13" s="7"/>
      <c r="H13" s="7">
        <f>IFERROR(F13/D13,"")</f>
        <v>0.0</v>
      </c>
      <c r="I13" s="6">
        <v>186.0</v>
      </c>
      <c r="J13" s="6">
        <v>2.0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7">
        <v>-1.0</v>
      </c>
      <c r="Q13" s="6">
        <v>0.0</v>
      </c>
      <c r="R13" s="7"/>
      <c r="S13" s="7" t="str">
        <f>IFERROR(Q13/O13,"")</f>
        <v/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</row>
    <row r="14" spans="1:19" s="1" customFormat="1" ht="8.1" customHeight="1">
      <c r="A14" s="1"/>
      <c r="E14" s="8"/>
      <c r="G14" s="7"/>
      <c r="H14" s="8"/>
      <c r="P14" s="8"/>
      <c r="R14" s="8"/>
      <c r="S14" s="8"/>
    </row>
    <row r="15" spans="1:28" s="1" customFormat="1" ht="16.5">
      <c r="A15" s="1"/>
      <c r="B15" s="5" t="s">
        <v>79</v>
      </c>
      <c r="C15" s="5" t="s">
        <v>94</v>
      </c>
      <c r="D15" s="6">
        <v>0.0</v>
      </c>
      <c r="E15" s="7"/>
      <c r="F15" s="6">
        <v>0.0</v>
      </c>
      <c r="G15" s="7"/>
      <c r="H15" s="7" t="str">
        <f>IFERROR(F15/D15,"")</f>
        <v/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13.0</v>
      </c>
      <c r="P15" s="7"/>
      <c r="Q15" s="6">
        <v>0.0</v>
      </c>
      <c r="R15" s="7"/>
      <c r="S15" s="7">
        <f>IFERROR(Q15/O15,"")</f>
        <v>0.0</v>
      </c>
      <c r="T15" s="6">
        <v>33.0</v>
      </c>
      <c r="U15" s="6">
        <v>13.0</v>
      </c>
      <c r="V15" s="6">
        <v>0.0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</row>
    <row r="16" spans="1:28" s="1" customFormat="1" ht="16.5">
      <c r="A16" s="1"/>
      <c r="B16" s="5"/>
      <c r="C16" s="5" t="s">
        <v>95</v>
      </c>
      <c r="D16" s="6">
        <v>1.0</v>
      </c>
      <c r="E16" s="7"/>
      <c r="F16" s="6">
        <v>0.0</v>
      </c>
      <c r="G16" s="7"/>
      <c r="H16" s="7">
        <f>IFERROR(F16/D16,"")</f>
        <v>0.0</v>
      </c>
      <c r="I16" s="6">
        <v>4.0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7"/>
      <c r="Q16" s="6">
        <v>0.0</v>
      </c>
      <c r="R16" s="7"/>
      <c r="S16" s="7" t="str">
        <f>IFERROR(Q16/O16,"")</f>
        <v/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</row>
    <row r="17" spans="1:28" s="1" customFormat="1" ht="16.5">
      <c r="A17" s="1"/>
      <c r="B17" s="5"/>
      <c r="C17" s="5" t="s">
        <v>96</v>
      </c>
      <c r="D17" s="6">
        <v>0.0</v>
      </c>
      <c r="E17" s="7"/>
      <c r="F17" s="6">
        <v>0.0</v>
      </c>
      <c r="G17" s="7"/>
      <c r="H17" s="7" t="str">
        <f>IFERROR(F17/D17,"")</f>
        <v/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14.0</v>
      </c>
      <c r="P17" s="7"/>
      <c r="Q17" s="6">
        <v>0.0</v>
      </c>
      <c r="R17" s="7"/>
      <c r="S17" s="7">
        <f>IFERROR(Q17/O17,"")</f>
        <v>0.0</v>
      </c>
      <c r="T17" s="6">
        <v>62.0</v>
      </c>
      <c r="U17" s="6">
        <v>14.0</v>
      </c>
      <c r="V17" s="6">
        <v>0.0</v>
      </c>
      <c r="W17" s="6">
        <v>0.0</v>
      </c>
      <c r="X17" s="6">
        <v>0.0</v>
      </c>
      <c r="Y17" s="6">
        <v>0.0</v>
      </c>
      <c r="Z17" s="6">
        <v>0.0</v>
      </c>
      <c r="AA17" s="6">
        <v>0.0</v>
      </c>
      <c r="AB17" s="6">
        <v>0.0</v>
      </c>
    </row>
    <row r="18" spans="1:28" s="1" customFormat="1" ht="16.5">
      <c r="A18" s="1"/>
      <c r="B18" s="5"/>
      <c r="C18" s="5" t="s">
        <v>97</v>
      </c>
      <c r="D18" s="6">
        <v>0.0</v>
      </c>
      <c r="E18" s="7"/>
      <c r="F18" s="6">
        <v>0.0</v>
      </c>
      <c r="G18" s="7"/>
      <c r="H18" s="7" t="str">
        <f>IFERROR(F18/D18,"")</f>
        <v/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12.0</v>
      </c>
      <c r="P18" s="7"/>
      <c r="Q18" s="6">
        <v>0.0</v>
      </c>
      <c r="R18" s="7"/>
      <c r="S18" s="7">
        <f>IFERROR(Q18/O18,"")</f>
        <v>0.0</v>
      </c>
      <c r="T18" s="6">
        <v>27.0</v>
      </c>
      <c r="U18" s="6">
        <v>12.0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</row>
    <row r="19" spans="1:28" s="1" customFormat="1" ht="16.5">
      <c r="A19" s="1"/>
      <c r="B19" s="5" t="s">
        <v>81</v>
      </c>
      <c r="C19" s="5" t="s">
        <v>98</v>
      </c>
      <c r="D19" s="6">
        <v>1.0</v>
      </c>
      <c r="E19" s="7"/>
      <c r="F19" s="6">
        <v>1.0</v>
      </c>
      <c r="G19" s="7"/>
      <c r="H19" s="7">
        <f>IFERROR(F19/D19,"")</f>
        <v>1.0</v>
      </c>
      <c r="I19" s="6">
        <v>65.0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7"/>
      <c r="Q19" s="6">
        <v>0.0</v>
      </c>
      <c r="R19" s="7"/>
      <c r="S19" s="7" t="str">
        <f>IFERROR(Q19/O19,"")</f>
        <v/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</row>
    <row r="20" spans="1:28" s="1" customFormat="1" ht="16.5">
      <c r="A20" s="1"/>
      <c r="B20" s="5"/>
      <c r="C20" s="5" t="s">
        <v>99</v>
      </c>
      <c r="D20" s="6">
        <v>1.0</v>
      </c>
      <c r="E20" s="7"/>
      <c r="F20" s="6">
        <v>1.0</v>
      </c>
      <c r="G20" s="7"/>
      <c r="H20" s="7">
        <f>IFERROR(F20/D20,"")</f>
        <v>1.0</v>
      </c>
      <c r="I20" s="6">
        <v>31.0</v>
      </c>
      <c r="J20" s="6">
        <v>1.0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7"/>
      <c r="Q20" s="6">
        <v>0.0</v>
      </c>
      <c r="R20" s="7"/>
      <c r="S20" s="7" t="str">
        <f>IFERROR(Q20/O20,"")</f>
        <v/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</row>
    <row r="21" spans="1:28" s="1" customFormat="1" ht="16.5">
      <c r="A21" s="1"/>
      <c r="B21" s="5"/>
      <c r="C21" s="5" t="s">
        <v>100</v>
      </c>
      <c r="D21" s="6">
        <v>1.0</v>
      </c>
      <c r="E21" s="7"/>
      <c r="F21" s="6">
        <v>0.0</v>
      </c>
      <c r="G21" s="7"/>
      <c r="H21" s="7">
        <f>IFERROR(F21/D21,"")</f>
        <v>0.0</v>
      </c>
      <c r="I21" s="6">
        <v>1.0</v>
      </c>
      <c r="J21" s="6">
        <v>1.0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7"/>
      <c r="Q21" s="6">
        <v>0.0</v>
      </c>
      <c r="R21" s="7"/>
      <c r="S21" s="7" t="str">
        <f>IFERROR(Q21/O21,"")</f>
        <v/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6">
        <v>0.0</v>
      </c>
      <c r="AB21" s="6">
        <v>0.0</v>
      </c>
    </row>
    <row r="22" spans="1:28" s="1" customFormat="1" ht="16.5">
      <c r="A22" s="1"/>
      <c r="B22" s="5"/>
      <c r="C22" s="5" t="s">
        <v>101</v>
      </c>
      <c r="D22" s="6">
        <v>1.0</v>
      </c>
      <c r="E22" s="7"/>
      <c r="F22" s="6">
        <v>1.0</v>
      </c>
      <c r="G22" s="7"/>
      <c r="H22" s="7">
        <f>IFERROR(F22/D22,"")</f>
        <v>1.0</v>
      </c>
      <c r="I22" s="6">
        <v>26.0</v>
      </c>
      <c r="J22" s="6">
        <v>0.0</v>
      </c>
      <c r="K22" s="6">
        <v>1.0</v>
      </c>
      <c r="L22" s="6">
        <v>0.0</v>
      </c>
      <c r="M22" s="6">
        <v>0.0</v>
      </c>
      <c r="N22" s="6">
        <v>0.0</v>
      </c>
      <c r="O22" s="6">
        <v>0.0</v>
      </c>
      <c r="P22" s="7"/>
      <c r="Q22" s="6">
        <v>0.0</v>
      </c>
      <c r="R22" s="7"/>
      <c r="S22" s="7" t="str">
        <f>IFERROR(Q22/O22,"")</f>
        <v/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6">
        <v>0.0</v>
      </c>
      <c r="AB22" s="6">
        <v>0.0</v>
      </c>
    </row>
    <row r="23" spans="1:28" s="1" customFormat="1" ht="16.5">
      <c r="A23" s="1"/>
      <c r="B23" s="5"/>
      <c r="C23" s="5" t="s">
        <v>102</v>
      </c>
      <c r="D23" s="6">
        <v>0.0</v>
      </c>
      <c r="E23" s="7"/>
      <c r="F23" s="6">
        <v>0.0</v>
      </c>
      <c r="G23" s="7"/>
      <c r="H23" s="7" t="str">
        <f>IFERROR(F23/D23,"")</f>
        <v/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11.0</v>
      </c>
      <c r="P23" s="7"/>
      <c r="Q23" s="6">
        <v>0.0</v>
      </c>
      <c r="R23" s="7"/>
      <c r="S23" s="7">
        <f>IFERROR(Q23/O23,"")</f>
        <v>0.0</v>
      </c>
      <c r="T23" s="6">
        <v>32.0</v>
      </c>
      <c r="U23" s="6">
        <v>11.0</v>
      </c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6">
        <v>0.0</v>
      </c>
      <c r="AB23" s="6">
        <v>0.0</v>
      </c>
    </row>
    <row r="24" spans="1:28" s="1" customFormat="1" ht="16.5">
      <c r="A24" s="1"/>
      <c r="B24" s="5"/>
      <c r="C24" s="5" t="s">
        <v>103</v>
      </c>
      <c r="D24" s="6">
        <v>1.0</v>
      </c>
      <c r="E24" s="7"/>
      <c r="F24" s="6">
        <v>1.0</v>
      </c>
      <c r="G24" s="7"/>
      <c r="H24" s="7">
        <f>IFERROR(F24/D24,"")</f>
        <v>1.0</v>
      </c>
      <c r="I24" s="6">
        <v>204.0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7"/>
      <c r="Q24" s="6">
        <v>0.0</v>
      </c>
      <c r="R24" s="7"/>
      <c r="S24" s="7" t="str">
        <f>IFERROR(Q24/O24,"")</f>
        <v/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6">
        <v>0.0</v>
      </c>
      <c r="AB24" s="6">
        <v>0.0</v>
      </c>
    </row>
    <row r="25" spans="1:28" s="1" customFormat="1" ht="16.5">
      <c r="A25" s="1"/>
      <c r="B25" s="5"/>
      <c r="C25" s="5" t="s">
        <v>104</v>
      </c>
      <c r="D25" s="6">
        <v>0.0</v>
      </c>
      <c r="E25" s="7"/>
      <c r="F25" s="6">
        <v>0.0</v>
      </c>
      <c r="G25" s="7"/>
      <c r="H25" s="7" t="str">
        <f>IFERROR(F25/D25,"")</f>
        <v/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13.0</v>
      </c>
      <c r="P25" s="7"/>
      <c r="Q25" s="6">
        <v>0.0</v>
      </c>
      <c r="R25" s="7"/>
      <c r="S25" s="7">
        <f>IFERROR(Q25/O25,"")</f>
        <v>0.0</v>
      </c>
      <c r="T25" s="6">
        <v>52.0</v>
      </c>
      <c r="U25" s="6">
        <v>13.0</v>
      </c>
      <c r="V25" s="6">
        <v>0.0</v>
      </c>
      <c r="W25" s="6">
        <v>0.0</v>
      </c>
      <c r="X25" s="6">
        <v>0.0</v>
      </c>
      <c r="Y25" s="6">
        <v>0.0</v>
      </c>
      <c r="Z25" s="6">
        <v>0.0</v>
      </c>
      <c r="AA25" s="6">
        <v>0.0</v>
      </c>
      <c r="AB25" s="6">
        <v>0.0</v>
      </c>
    </row>
    <row r="26" spans="1:28" s="1" customFormat="1" ht="16.5">
      <c r="A26" s="1"/>
      <c r="B26" s="5" t="s">
        <v>83</v>
      </c>
      <c r="C26" s="5" t="s">
        <v>105</v>
      </c>
      <c r="D26" s="6">
        <v>0.0</v>
      </c>
      <c r="E26" s="7"/>
      <c r="F26" s="6">
        <v>0.0</v>
      </c>
      <c r="G26" s="7"/>
      <c r="H26" s="7" t="str">
        <f>IFERROR(F26/D26,"")</f>
        <v/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14.0</v>
      </c>
      <c r="P26" s="7">
        <v>2.5</v>
      </c>
      <c r="Q26" s="6">
        <v>0.0</v>
      </c>
      <c r="R26" s="7"/>
      <c r="S26" s="7">
        <f>IFERROR(Q26/O26,"")</f>
        <v>0.0</v>
      </c>
      <c r="T26" s="6">
        <v>258.0</v>
      </c>
      <c r="U26" s="6">
        <v>14.0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</row>
    <row r="27" spans="1:28" s="1" customFormat="1" ht="16.5">
      <c r="A27" s="1"/>
      <c r="B27" s="5"/>
      <c r="C27" s="5" t="s">
        <v>106</v>
      </c>
      <c r="D27" s="6">
        <v>2.0</v>
      </c>
      <c r="E27" s="7"/>
      <c r="F27" s="6">
        <v>1.0</v>
      </c>
      <c r="G27" s="7"/>
      <c r="H27" s="7">
        <f>IFERROR(F27/D27,"")</f>
        <v>0.5</v>
      </c>
      <c r="I27" s="6">
        <v>38.0</v>
      </c>
      <c r="J27" s="6">
        <v>2.0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7"/>
      <c r="Q27" s="6">
        <v>0.0</v>
      </c>
      <c r="R27" s="7"/>
      <c r="S27" s="7" t="str">
        <f>IFERROR(Q27/O27,"")</f>
        <v/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0.0</v>
      </c>
      <c r="AA27" s="6">
        <v>0.0</v>
      </c>
      <c r="AB27" s="6">
        <v>0.0</v>
      </c>
    </row>
    <row r="28" spans="1:28" s="1" customFormat="1" ht="16.5">
      <c r="A28" s="1"/>
      <c r="B28" s="5"/>
      <c r="C28" s="5" t="s">
        <v>107</v>
      </c>
      <c r="D28" s="6">
        <v>3.0</v>
      </c>
      <c r="E28" s="7"/>
      <c r="F28" s="6">
        <v>0.0</v>
      </c>
      <c r="G28" s="7"/>
      <c r="H28" s="7">
        <f>IFERROR(F28/D28,"")</f>
        <v>0.0</v>
      </c>
      <c r="I28" s="6">
        <v>61.0</v>
      </c>
      <c r="J28" s="6">
        <v>2.0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7"/>
      <c r="Q28" s="6">
        <v>0.0</v>
      </c>
      <c r="R28" s="7"/>
      <c r="S28" s="7" t="str">
        <f>IFERROR(Q28/O28,"")</f>
        <v/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6">
        <v>0.0</v>
      </c>
      <c r="AB28" s="6">
        <v>0.0</v>
      </c>
    </row>
    <row r="29" spans="1:28" s="1" customFormat="1" ht="16.5">
      <c r="A29" s="1"/>
      <c r="B29" s="5"/>
      <c r="C29" s="5" t="s">
        <v>108</v>
      </c>
      <c r="D29" s="6">
        <v>1.0</v>
      </c>
      <c r="E29" s="7"/>
      <c r="F29" s="6">
        <v>0.0</v>
      </c>
      <c r="G29" s="7"/>
      <c r="H29" s="7">
        <f>IFERROR(F29/D29,"")</f>
        <v>0.0</v>
      </c>
      <c r="I29" s="6">
        <v>6.0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7"/>
      <c r="Q29" s="6">
        <v>0.0</v>
      </c>
      <c r="R29" s="7"/>
      <c r="S29" s="7" t="str">
        <f>IFERROR(Q29/O29,"")</f>
        <v/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6">
        <v>0.0</v>
      </c>
      <c r="AB29" s="6">
        <v>0.0</v>
      </c>
    </row>
    <row r="30" spans="1:28" s="1" customFormat="1" ht="16.5">
      <c r="A30" s="1"/>
      <c r="B30" s="5"/>
      <c r="C30" s="5" t="s">
        <v>109</v>
      </c>
      <c r="D30" s="6">
        <v>3.0</v>
      </c>
      <c r="E30" s="7"/>
      <c r="F30" s="6">
        <v>0.0</v>
      </c>
      <c r="G30" s="7"/>
      <c r="H30" s="7">
        <f>IFERROR(F30/D30,"")</f>
        <v>0.0</v>
      </c>
      <c r="I30" s="6">
        <v>72.0</v>
      </c>
      <c r="J30" s="6">
        <v>2.0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7"/>
      <c r="Q30" s="6">
        <v>0.0</v>
      </c>
      <c r="R30" s="7"/>
      <c r="S30" s="7" t="str">
        <f>IFERROR(Q30/O30,"")</f>
        <v/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6">
        <v>0.0</v>
      </c>
      <c r="AB30" s="6">
        <v>0.0</v>
      </c>
    </row>
    <row r="31" spans="1:28" s="1" customFormat="1" ht="16.5">
      <c r="A31" s="1"/>
      <c r="B31" s="5"/>
      <c r="C31" s="5" t="s">
        <v>110</v>
      </c>
      <c r="D31" s="6">
        <v>2.0</v>
      </c>
      <c r="E31" s="7"/>
      <c r="F31" s="6">
        <v>0.0</v>
      </c>
      <c r="G31" s="7"/>
      <c r="H31" s="7">
        <f>IFERROR(F31/D31,"")</f>
        <v>0.0</v>
      </c>
      <c r="I31" s="6">
        <v>56.0</v>
      </c>
      <c r="J31" s="6">
        <v>2.0</v>
      </c>
      <c r="K31" s="6">
        <v>0.0</v>
      </c>
      <c r="L31" s="6">
        <v>0.0</v>
      </c>
      <c r="M31" s="6">
        <v>0.0</v>
      </c>
      <c r="N31" s="6">
        <v>0.0</v>
      </c>
      <c r="O31" s="6">
        <v>1.0</v>
      </c>
      <c r="P31" s="7">
        <v>-0.75</v>
      </c>
      <c r="Q31" s="6">
        <v>0.0</v>
      </c>
      <c r="R31" s="7"/>
      <c r="S31" s="7">
        <f>IFERROR(Q31/O31,"")</f>
        <v>0.0</v>
      </c>
      <c r="T31" s="6">
        <v>1.0</v>
      </c>
      <c r="U31" s="6">
        <v>1.0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>
        <v>0.0</v>
      </c>
      <c r="AB31" s="6">
        <v>0.0</v>
      </c>
    </row>
    <row r="32" spans="1:28" s="1" customFormat="1" ht="16.5">
      <c r="A32" s="1"/>
      <c r="B32" s="5"/>
      <c r="C32" s="5" t="s">
        <v>111</v>
      </c>
      <c r="D32" s="6">
        <v>2.0</v>
      </c>
      <c r="E32" s="7"/>
      <c r="F32" s="6">
        <v>1.0</v>
      </c>
      <c r="G32" s="7"/>
      <c r="H32" s="7">
        <f>IFERROR(F32/D32,"")</f>
        <v>0.5</v>
      </c>
      <c r="I32" s="6">
        <v>40.0</v>
      </c>
      <c r="J32" s="6">
        <v>2.0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7"/>
      <c r="Q32" s="6">
        <v>0.0</v>
      </c>
      <c r="R32" s="7"/>
      <c r="S32" s="7" t="str">
        <f>IFERROR(Q32/O32,"")</f>
        <v/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</row>
    <row r="33" spans="1:28" s="1" customFormat="1" ht="16.5">
      <c r="A33" s="1"/>
      <c r="B33" s="5"/>
      <c r="C33" s="5" t="s">
        <v>112</v>
      </c>
      <c r="D33" s="6">
        <v>1.0</v>
      </c>
      <c r="E33" s="7"/>
      <c r="F33" s="6">
        <v>0.0</v>
      </c>
      <c r="G33" s="7"/>
      <c r="H33" s="7">
        <f>IFERROR(F33/D33,"")</f>
        <v>0.0</v>
      </c>
      <c r="I33" s="6">
        <v>35.0</v>
      </c>
      <c r="J33" s="6">
        <v>1.0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7"/>
      <c r="Q33" s="6">
        <v>0.0</v>
      </c>
      <c r="R33" s="7"/>
      <c r="S33" s="7" t="str">
        <f>IFERROR(Q33/O33,"")</f>
        <v/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0.0</v>
      </c>
      <c r="AA33" s="6">
        <v>0.0</v>
      </c>
      <c r="AB33" s="6">
        <v>0.0</v>
      </c>
    </row>
    <row r="34" spans="1:28" s="1" customFormat="1" ht="16.5">
      <c r="A34" s="1"/>
      <c r="B34" s="5"/>
      <c r="C34" s="5" t="s">
        <v>113</v>
      </c>
      <c r="D34" s="6">
        <v>2.0</v>
      </c>
      <c r="E34" s="7">
        <v>0.0</v>
      </c>
      <c r="F34" s="6">
        <v>0.0</v>
      </c>
      <c r="G34" s="7">
        <v>-1.0</v>
      </c>
      <c r="H34" s="7">
        <f>IFERROR(F34/D34,"")</f>
        <v>0.0</v>
      </c>
      <c r="I34" s="6">
        <v>39.0</v>
      </c>
      <c r="J34" s="6">
        <v>2.0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7"/>
      <c r="Q34" s="6">
        <v>0.0</v>
      </c>
      <c r="R34" s="7"/>
      <c r="S34" s="7" t="str">
        <f>IFERROR(Q34/O34,"")</f>
        <v/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</row>
    <row r="35" spans="1:28" s="1" customFormat="1" ht="16.5">
      <c r="A35" s="1"/>
      <c r="B35" s="5"/>
      <c r="C35" s="5" t="s">
        <v>114</v>
      </c>
      <c r="D35" s="6">
        <v>3.0</v>
      </c>
      <c r="E35" s="7"/>
      <c r="F35" s="6">
        <v>0.0</v>
      </c>
      <c r="G35" s="7"/>
      <c r="H35" s="7">
        <f>IFERROR(F35/D35,"")</f>
        <v>0.0</v>
      </c>
      <c r="I35" s="6">
        <v>123.0</v>
      </c>
      <c r="J35" s="6">
        <v>2.0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7"/>
      <c r="Q35" s="6">
        <v>0.0</v>
      </c>
      <c r="R35" s="7"/>
      <c r="S35" s="7" t="str">
        <f>IFERROR(Q35/O35,"")</f>
        <v/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</row>
    <row r="36" spans="1:28" s="1" customFormat="1" ht="16.5">
      <c r="A36" s="1"/>
      <c r="B36" s="5"/>
      <c r="C36" s="5" t="s">
        <v>115</v>
      </c>
      <c r="D36" s="6">
        <v>3.0</v>
      </c>
      <c r="E36" s="7"/>
      <c r="F36" s="6">
        <v>1.0</v>
      </c>
      <c r="G36" s="7"/>
      <c r="H36" s="7">
        <f>IFERROR(F36/D36,"")</f>
        <v>0.3333333333333333</v>
      </c>
      <c r="I36" s="6">
        <v>119.0</v>
      </c>
      <c r="J36" s="6">
        <v>2.0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7">
        <v>-1.0</v>
      </c>
      <c r="Q36" s="6">
        <v>0.0</v>
      </c>
      <c r="R36" s="7"/>
      <c r="S36" s="7" t="str">
        <f>IFERROR(Q36/O36,"")</f>
        <v/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</row>
    <row r="37" spans="1:28" s="1" customFormat="1" ht="16.5">
      <c r="A37" s="1"/>
      <c r="B37" s="5" t="s">
        <v>85</v>
      </c>
      <c r="C37" s="5" t="s">
        <v>116</v>
      </c>
      <c r="D37" s="6">
        <v>2.0</v>
      </c>
      <c r="E37" s="7"/>
      <c r="F37" s="6">
        <v>1.0</v>
      </c>
      <c r="G37" s="7"/>
      <c r="H37" s="7">
        <f>IFERROR(F37/D37,"")</f>
        <v>0.5</v>
      </c>
      <c r="I37" s="6">
        <v>114.0</v>
      </c>
      <c r="J37" s="6">
        <v>2.0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7">
        <v>-1.0</v>
      </c>
      <c r="Q37" s="6">
        <v>0.0</v>
      </c>
      <c r="R37" s="7"/>
      <c r="S37" s="7" t="str">
        <f>IFERROR(Q37/O37,"")</f>
        <v/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</row>
    <row r="38" spans="1:28" s="1" customFormat="1" ht="16.5">
      <c r="A38" s="1"/>
      <c r="B38" s="5"/>
      <c r="C38" s="5" t="s">
        <v>117</v>
      </c>
      <c r="D38" s="6">
        <v>3.0</v>
      </c>
      <c r="E38" s="7">
        <v>0.5</v>
      </c>
      <c r="F38" s="6">
        <v>0.0</v>
      </c>
      <c r="G38" s="7"/>
      <c r="H38" s="7">
        <f>IFERROR(F38/D38,"")</f>
        <v>0.0</v>
      </c>
      <c r="I38" s="6">
        <v>115.0</v>
      </c>
      <c r="J38" s="6">
        <v>2.0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7">
        <v>-1.0</v>
      </c>
      <c r="Q38" s="6">
        <v>0.0</v>
      </c>
      <c r="R38" s="7"/>
      <c r="S38" s="7" t="str">
        <f>IFERROR(Q38/O38,"")</f>
        <v/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</row>
    <row r="39" spans="1:28" s="1" customFormat="1" ht="16.5">
      <c r="A39" s="1"/>
      <c r="B39" s="5"/>
      <c r="C39" s="5" t="s">
        <v>118</v>
      </c>
      <c r="D39" s="6">
        <v>2.0</v>
      </c>
      <c r="E39" s="7"/>
      <c r="F39" s="6">
        <v>0.0</v>
      </c>
      <c r="G39" s="7"/>
      <c r="H39" s="7">
        <f>IFERROR(F39/D39,"")</f>
        <v>0.0</v>
      </c>
      <c r="I39" s="6">
        <v>50.0</v>
      </c>
      <c r="J39" s="6">
        <v>2.0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7">
        <v>-1.0</v>
      </c>
      <c r="Q39" s="6">
        <v>0.0</v>
      </c>
      <c r="R39" s="7"/>
      <c r="S39" s="7" t="str">
        <f>IFERROR(Q39/O39,"")</f>
        <v/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1.0</v>
      </c>
    </row>
    <row r="40" spans="1:28" s="1" customFormat="1" ht="16.5">
      <c r="A40" s="1"/>
      <c r="B40" s="5"/>
      <c r="C40" s="5" t="s">
        <v>119</v>
      </c>
      <c r="D40" s="6">
        <v>3.0</v>
      </c>
      <c r="E40" s="7">
        <v>0.5</v>
      </c>
      <c r="F40" s="6">
        <v>2.0</v>
      </c>
      <c r="G40" s="7"/>
      <c r="H40" s="7">
        <f>IFERROR(F40/D40,"")</f>
        <v>0.6666666666666666</v>
      </c>
      <c r="I40" s="6">
        <v>95.0</v>
      </c>
      <c r="J40" s="6">
        <v>2.0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7">
        <v>-1.0</v>
      </c>
      <c r="Q40" s="6">
        <v>0.0</v>
      </c>
      <c r="R40" s="7"/>
      <c r="S40" s="7" t="str">
        <f>IFERROR(Q40/O40,"")</f>
        <v/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</row>
    <row r="41" spans="1:28" s="1" customFormat="1" ht="16.5">
      <c r="A41" s="1"/>
      <c r="B41" s="5"/>
      <c r="C41" s="5" t="s">
        <v>120</v>
      </c>
      <c r="D41" s="6">
        <v>2.0</v>
      </c>
      <c r="E41" s="7">
        <v>0.0</v>
      </c>
      <c r="F41" s="6">
        <v>1.0</v>
      </c>
      <c r="G41" s="7"/>
      <c r="H41" s="7">
        <f>IFERROR(F41/D41,"")</f>
        <v>0.5</v>
      </c>
      <c r="I41" s="6">
        <v>77.0</v>
      </c>
      <c r="J41" s="6">
        <v>1.0</v>
      </c>
      <c r="K41" s="6">
        <v>1.0</v>
      </c>
      <c r="L41" s="6">
        <v>0.0</v>
      </c>
      <c r="M41" s="6">
        <v>0.0</v>
      </c>
      <c r="N41" s="6">
        <v>0.0</v>
      </c>
      <c r="O41" s="6">
        <v>0.0</v>
      </c>
      <c r="P41" s="7">
        <v>-1.0</v>
      </c>
      <c r="Q41" s="6">
        <v>0.0</v>
      </c>
      <c r="R41" s="7"/>
      <c r="S41" s="7" t="str">
        <f>IFERROR(Q41/O41,"")</f>
        <v/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</row>
    <row r="42" spans="1:28" s="1" customFormat="1" ht="16.5">
      <c r="A42" s="1"/>
      <c r="B42" s="5"/>
      <c r="C42" s="5" t="s">
        <v>121</v>
      </c>
      <c r="D42" s="6">
        <v>4.0</v>
      </c>
      <c r="E42" s="7">
        <v>1.0</v>
      </c>
      <c r="F42" s="6">
        <v>0.0</v>
      </c>
      <c r="G42" s="7"/>
      <c r="H42" s="7">
        <f>IFERROR(F42/D42,"")</f>
        <v>0.0</v>
      </c>
      <c r="I42" s="6">
        <v>104.0</v>
      </c>
      <c r="J42" s="6">
        <v>3.0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7">
        <v>-1.0</v>
      </c>
      <c r="Q42" s="6">
        <v>0.0</v>
      </c>
      <c r="R42" s="7"/>
      <c r="S42" s="7" t="str">
        <f>IFERROR(Q42/O42,"")</f>
        <v/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</row>
    <row r="43" spans="1:28" s="1" customFormat="1" ht="16.5">
      <c r="A43" s="1"/>
      <c r="B43" s="5"/>
      <c r="C43" s="5" t="s">
        <v>122</v>
      </c>
      <c r="D43" s="6">
        <v>2.0</v>
      </c>
      <c r="E43" s="7"/>
      <c r="F43" s="6">
        <v>0.0</v>
      </c>
      <c r="G43" s="7"/>
      <c r="H43" s="7">
        <f>IFERROR(F43/D43,"")</f>
        <v>0.0</v>
      </c>
      <c r="I43" s="6">
        <v>67.0</v>
      </c>
      <c r="J43" s="6">
        <v>2.0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7">
        <v>-1.0</v>
      </c>
      <c r="Q43" s="6">
        <v>0.0</v>
      </c>
      <c r="R43" s="7"/>
      <c r="S43" s="7" t="str">
        <f>IFERROR(Q43/O43,"")</f>
        <v/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</row>
    <row r="44" spans="1:28" s="1" customFormat="1" ht="16.5">
      <c r="A44" s="1"/>
      <c r="B44" s="5"/>
      <c r="C44" s="5" t="s">
        <v>123</v>
      </c>
      <c r="D44" s="6">
        <v>3.0</v>
      </c>
      <c r="E44" s="7"/>
      <c r="F44" s="6">
        <v>0.0</v>
      </c>
      <c r="G44" s="7"/>
      <c r="H44" s="7">
        <f>IFERROR(F44/D44,"")</f>
        <v>0.0</v>
      </c>
      <c r="I44" s="6">
        <v>75.0</v>
      </c>
      <c r="J44" s="6">
        <v>3.0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7">
        <v>-1.0</v>
      </c>
      <c r="Q44" s="6">
        <v>0.0</v>
      </c>
      <c r="R44" s="7"/>
      <c r="S44" s="7" t="str">
        <f>IFERROR(Q44/O44,"")</f>
        <v/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</row>
    <row r="45" spans="1:28" s="1" customFormat="1" ht="16.5">
      <c r="A45" s="1"/>
      <c r="B45" s="5"/>
      <c r="C45" s="5" t="s">
        <v>124</v>
      </c>
      <c r="D45" s="6">
        <v>3.0</v>
      </c>
      <c r="E45" s="7">
        <v>0.5</v>
      </c>
      <c r="F45" s="6">
        <v>0.0</v>
      </c>
      <c r="G45" s="7"/>
      <c r="H45" s="7">
        <f>IFERROR(F45/D45,"")</f>
        <v>0.0</v>
      </c>
      <c r="I45" s="6">
        <v>50.0</v>
      </c>
      <c r="J45" s="6">
        <v>3.0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7">
        <v>-1.0</v>
      </c>
      <c r="Q45" s="6">
        <v>0.0</v>
      </c>
      <c r="R45" s="7"/>
      <c r="S45" s="7" t="str">
        <f>IFERROR(Q45/O45,"")</f>
        <v/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</row>
    <row r="46" spans="1:28" s="1" customFormat="1" ht="16.5">
      <c r="A46" s="1"/>
      <c r="B46" s="5"/>
      <c r="C46" s="5" t="s">
        <v>125</v>
      </c>
      <c r="D46" s="6">
        <v>3.0</v>
      </c>
      <c r="E46" s="7">
        <v>2.0</v>
      </c>
      <c r="F46" s="6">
        <v>1.0</v>
      </c>
      <c r="G46" s="7"/>
      <c r="H46" s="7">
        <f>IFERROR(F46/D46,"")</f>
        <v>0.3333333333333333</v>
      </c>
      <c r="I46" s="6">
        <v>93.0</v>
      </c>
      <c r="J46" s="6">
        <v>3.0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7">
        <v>-1.0</v>
      </c>
      <c r="Q46" s="6">
        <v>0.0</v>
      </c>
      <c r="R46" s="7"/>
      <c r="S46" s="7" t="str">
        <f>IFERROR(Q46/O46,"")</f>
        <v/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</row>
    <row r="47" spans="1:28" s="1" customFormat="1" ht="16.5">
      <c r="A47" s="1"/>
      <c r="B47" s="5"/>
      <c r="C47" s="5" t="s">
        <v>126</v>
      </c>
      <c r="D47" s="6">
        <v>5.0</v>
      </c>
      <c r="E47" s="7">
        <v>1.5</v>
      </c>
      <c r="F47" s="6">
        <v>0.0</v>
      </c>
      <c r="G47" s="7"/>
      <c r="H47" s="7">
        <f>IFERROR(F47/D47,"")</f>
        <v>0.0</v>
      </c>
      <c r="I47" s="6">
        <v>108.0</v>
      </c>
      <c r="J47" s="6">
        <v>4.0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7">
        <v>-1.0</v>
      </c>
      <c r="Q47" s="6">
        <v>0.0</v>
      </c>
      <c r="R47" s="7"/>
      <c r="S47" s="7" t="str">
        <f>IFERROR(Q47/O47,"")</f>
        <v/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0.0</v>
      </c>
      <c r="Z47" s="6">
        <v>0.0</v>
      </c>
      <c r="AA47" s="6">
        <v>0.0</v>
      </c>
      <c r="AB47" s="6">
        <v>0.0</v>
      </c>
    </row>
    <row r="48" spans="1:28" s="1" customFormat="1" ht="16.5">
      <c r="A48" s="1"/>
      <c r="B48" s="5"/>
      <c r="C48" s="5" t="s">
        <v>127</v>
      </c>
      <c r="D48" s="6">
        <v>2.0</v>
      </c>
      <c r="E48" s="7">
        <v>0.0</v>
      </c>
      <c r="F48" s="6">
        <v>0.0</v>
      </c>
      <c r="G48" s="7"/>
      <c r="H48" s="7">
        <f>IFERROR(F48/D48,"")</f>
        <v>0.0</v>
      </c>
      <c r="I48" s="6">
        <v>219.0</v>
      </c>
      <c r="J48" s="6">
        <v>2.0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7">
        <v>-1.0</v>
      </c>
      <c r="Q48" s="6">
        <v>0.0</v>
      </c>
      <c r="R48" s="7"/>
      <c r="S48" s="7" t="str">
        <f>IFERROR(Q48/O48,"")</f>
        <v/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0.0</v>
      </c>
      <c r="AA48" s="6">
        <v>0.0</v>
      </c>
      <c r="AB48" s="6">
        <v>0.0</v>
      </c>
    </row>
    <row r="49" spans="1:28" s="1" customFormat="1" ht="16.5">
      <c r="A49" s="1"/>
      <c r="B49" s="5" t="s">
        <v>87</v>
      </c>
      <c r="C49" s="5" t="s">
        <v>128</v>
      </c>
      <c r="D49" s="6">
        <v>3.0</v>
      </c>
      <c r="E49" s="7">
        <v>0.5</v>
      </c>
      <c r="F49" s="6">
        <v>0.0</v>
      </c>
      <c r="G49" s="7"/>
      <c r="H49" s="7">
        <f>IFERROR(F49/D49,"")</f>
        <v>0.0</v>
      </c>
      <c r="I49" s="6">
        <v>168.0</v>
      </c>
      <c r="J49" s="6">
        <v>3.0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7">
        <v>-1.0</v>
      </c>
      <c r="Q49" s="6">
        <v>0.0</v>
      </c>
      <c r="R49" s="7"/>
      <c r="S49" s="7" t="str">
        <f>IFERROR(Q49/O49,"")</f>
        <v/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</row>
    <row r="50" spans="1:28" s="1" customFormat="1" ht="16.5">
      <c r="A50" s="1"/>
      <c r="B50" s="5"/>
      <c r="C50" s="5" t="s">
        <v>129</v>
      </c>
      <c r="D50" s="6">
        <v>3.0</v>
      </c>
      <c r="E50" s="7"/>
      <c r="F50" s="6">
        <v>0.0</v>
      </c>
      <c r="G50" s="7"/>
      <c r="H50" s="7">
        <f>IFERROR(F50/D50,"")</f>
        <v>0.0</v>
      </c>
      <c r="I50" s="6">
        <v>83.0</v>
      </c>
      <c r="J50" s="6">
        <v>3.0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7">
        <v>-1.0</v>
      </c>
      <c r="Q50" s="6">
        <v>0.0</v>
      </c>
      <c r="R50" s="7"/>
      <c r="S50" s="7" t="str">
        <f>IFERROR(Q50/O50,"")</f>
        <v/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</row>
    <row r="51" spans="1:28" s="1" customFormat="1" ht="16.5">
      <c r="A51" s="1"/>
      <c r="B51" s="5"/>
      <c r="C51" s="5" t="s">
        <v>130</v>
      </c>
      <c r="D51" s="6">
        <v>2.0</v>
      </c>
      <c r="E51" s="7"/>
      <c r="F51" s="6">
        <v>1.0</v>
      </c>
      <c r="G51" s="7"/>
      <c r="H51" s="7">
        <f>IFERROR(F51/D51,"")</f>
        <v>0.5</v>
      </c>
      <c r="I51" s="6">
        <v>31.0</v>
      </c>
      <c r="J51" s="6">
        <v>1.0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7"/>
      <c r="Q51" s="6">
        <v>0.0</v>
      </c>
      <c r="R51" s="7"/>
      <c r="S51" s="7" t="str">
        <f>IFERROR(Q51/O51,"")</f>
        <v/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</row>
    <row r="52" spans="1:28" s="1" customFormat="1" ht="16.5">
      <c r="A52" s="1"/>
      <c r="B52" s="5"/>
      <c r="C52" s="5" t="s">
        <v>131</v>
      </c>
      <c r="D52" s="6">
        <v>2.0</v>
      </c>
      <c r="E52" s="7"/>
      <c r="F52" s="6">
        <v>0.0</v>
      </c>
      <c r="G52" s="7"/>
      <c r="H52" s="7">
        <f>IFERROR(F52/D52,"")</f>
        <v>0.0</v>
      </c>
      <c r="I52" s="6">
        <v>110.0</v>
      </c>
      <c r="J52" s="6">
        <v>2.0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7">
        <v>-1.0</v>
      </c>
      <c r="Q52" s="6">
        <v>0.0</v>
      </c>
      <c r="R52" s="7"/>
      <c r="S52" s="7" t="str">
        <f>IFERROR(Q52/O52,"")</f>
        <v/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</row>
    <row r="53" spans="1:28" s="1" customFormat="1" ht="16.5">
      <c r="A53" s="1"/>
      <c r="B53" s="5"/>
      <c r="C53" s="5" t="s">
        <v>132</v>
      </c>
      <c r="D53" s="6">
        <v>4.0</v>
      </c>
      <c r="E53" s="7">
        <v>1.0</v>
      </c>
      <c r="F53" s="6">
        <v>3.0</v>
      </c>
      <c r="G53" s="7"/>
      <c r="H53" s="7">
        <f>IFERROR(F53/D53,"")</f>
        <v>0.75</v>
      </c>
      <c r="I53" s="6">
        <v>462.0</v>
      </c>
      <c r="J53" s="6">
        <v>4.0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7">
        <v>-1.0</v>
      </c>
      <c r="Q53" s="6">
        <v>0.0</v>
      </c>
      <c r="R53" s="7"/>
      <c r="S53" s="7" t="str">
        <f>IFERROR(Q53/O53,"")</f>
        <v/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</row>
    <row r="54" spans="1:28" s="1" customFormat="1" ht="16.5">
      <c r="A54" s="1"/>
      <c r="B54" s="5"/>
      <c r="C54" s="5" t="s">
        <v>133</v>
      </c>
      <c r="D54" s="6">
        <v>4.0</v>
      </c>
      <c r="E54" s="7">
        <v>1.0</v>
      </c>
      <c r="F54" s="6">
        <v>0.0</v>
      </c>
      <c r="G54" s="7"/>
      <c r="H54" s="7">
        <f>IFERROR(F54/D54,"")</f>
        <v>0.0</v>
      </c>
      <c r="I54" s="6">
        <v>347.0</v>
      </c>
      <c r="J54" s="6">
        <v>3.0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7">
        <v>-1.0</v>
      </c>
      <c r="Q54" s="6">
        <v>0.0</v>
      </c>
      <c r="R54" s="7"/>
      <c r="S54" s="7" t="str">
        <f>IFERROR(Q54/O54,"")</f>
        <v/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</row>
    <row r="55" spans="1:28" s="1" customFormat="1" ht="16.5">
      <c r="A55" s="1"/>
      <c r="B55" s="5"/>
      <c r="C55" s="5" t="s">
        <v>134</v>
      </c>
      <c r="D55" s="6">
        <v>2.0</v>
      </c>
      <c r="E55" s="7"/>
      <c r="F55" s="6">
        <v>0.0</v>
      </c>
      <c r="G55" s="7"/>
      <c r="H55" s="7">
        <f>IFERROR(F55/D55,"")</f>
        <v>0.0</v>
      </c>
      <c r="I55" s="6">
        <v>59.0</v>
      </c>
      <c r="J55" s="6">
        <v>2.0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7"/>
      <c r="Q55" s="6">
        <v>0.0</v>
      </c>
      <c r="R55" s="7"/>
      <c r="S55" s="7" t="str">
        <f>IFERROR(Q55/O55,"")</f>
        <v/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</row>
    <row r="56" spans="1:28" s="1" customFormat="1" ht="16.5">
      <c r="A56" s="1"/>
      <c r="B56" s="5"/>
      <c r="C56" s="5" t="s">
        <v>135</v>
      </c>
      <c r="D56" s="6">
        <v>2.0</v>
      </c>
      <c r="E56" s="7">
        <v>1.0</v>
      </c>
      <c r="F56" s="6">
        <v>0.0</v>
      </c>
      <c r="G56" s="7"/>
      <c r="H56" s="7">
        <f>IFERROR(F56/D56,"")</f>
        <v>0.0</v>
      </c>
      <c r="I56" s="6">
        <v>284.0</v>
      </c>
      <c r="J56" s="6">
        <v>2.0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7">
        <v>-1.0</v>
      </c>
      <c r="Q56" s="6">
        <v>0.0</v>
      </c>
      <c r="R56" s="7"/>
      <c r="S56" s="7" t="str">
        <f>IFERROR(Q56/O56,"")</f>
        <v/>
      </c>
      <c r="T56" s="6">
        <v>0.0</v>
      </c>
      <c r="U56" s="6">
        <v>0.0</v>
      </c>
      <c r="V56" s="6">
        <v>0.0</v>
      </c>
      <c r="W56" s="6">
        <v>0.0</v>
      </c>
      <c r="X56" s="6">
        <v>0.0</v>
      </c>
      <c r="Y56" s="6">
        <v>0.0</v>
      </c>
      <c r="Z56" s="6">
        <v>0.0</v>
      </c>
      <c r="AA56" s="6">
        <v>0.0</v>
      </c>
      <c r="AB56" s="6">
        <v>0.0</v>
      </c>
    </row>
    <row r="57" spans="1:28" s="1" customFormat="1" ht="16.5">
      <c r="A57" s="1"/>
      <c r="B57" s="5" t="s">
        <v>89</v>
      </c>
      <c r="C57" s="5" t="s">
        <v>136</v>
      </c>
      <c r="D57" s="6">
        <v>3.0</v>
      </c>
      <c r="E57" s="7">
        <v>0.5</v>
      </c>
      <c r="F57" s="6">
        <v>0.0</v>
      </c>
      <c r="G57" s="7"/>
      <c r="H57" s="7">
        <f>IFERROR(F57/D57,"")</f>
        <v>0.0</v>
      </c>
      <c r="I57" s="6">
        <v>58.0</v>
      </c>
      <c r="J57" s="6">
        <v>3.0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7">
        <v>-1.0</v>
      </c>
      <c r="Q57" s="6">
        <v>0.0</v>
      </c>
      <c r="R57" s="7"/>
      <c r="S57" s="7" t="str">
        <f>IFERROR(Q57/O57,"")</f>
        <v/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</row>
    <row r="58" spans="1:28" s="1" customFormat="1" ht="16.5">
      <c r="A58" s="1"/>
      <c r="B58" s="5"/>
      <c r="C58" s="5" t="s">
        <v>137</v>
      </c>
      <c r="D58" s="6">
        <v>4.0</v>
      </c>
      <c r="E58" s="7">
        <v>3.0</v>
      </c>
      <c r="F58" s="6">
        <v>0.0</v>
      </c>
      <c r="G58" s="7"/>
      <c r="H58" s="7">
        <f>IFERROR(F58/D58,"")</f>
        <v>0.0</v>
      </c>
      <c r="I58" s="6">
        <v>134.0</v>
      </c>
      <c r="J58" s="6">
        <v>3.0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7">
        <v>-1.0</v>
      </c>
      <c r="Q58" s="6">
        <v>0.0</v>
      </c>
      <c r="R58" s="7"/>
      <c r="S58" s="7" t="str">
        <f>IFERROR(Q58/O58,"")</f>
        <v/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</row>
    <row r="59" spans="1:28" s="1" customFormat="1" ht="16.5">
      <c r="A59" s="1"/>
      <c r="B59" s="5"/>
      <c r="C59" s="5" t="s">
        <v>138</v>
      </c>
      <c r="D59" s="6">
        <v>0.0</v>
      </c>
      <c r="E59" s="7"/>
      <c r="F59" s="6">
        <v>0.0</v>
      </c>
      <c r="G59" s="7"/>
      <c r="H59" s="7" t="str">
        <f>IFERROR(F59/D59,"")</f>
        <v/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6.0</v>
      </c>
      <c r="P59" s="7">
        <v>5.0</v>
      </c>
      <c r="Q59" s="6">
        <v>0.0</v>
      </c>
      <c r="R59" s="7"/>
      <c r="S59" s="7">
        <f>IFERROR(Q59/O59,"")</f>
        <v>0.0</v>
      </c>
      <c r="T59" s="6">
        <v>165.0</v>
      </c>
      <c r="U59" s="6">
        <v>6.0</v>
      </c>
      <c r="V59" s="6">
        <v>0.0</v>
      </c>
      <c r="W59" s="6">
        <v>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</row>
    <row r="60" spans="1:28" s="1" customFormat="1" ht="16.5">
      <c r="A60" s="1"/>
      <c r="B60" s="5"/>
      <c r="C60" s="5" t="s">
        <v>139</v>
      </c>
      <c r="D60" s="6">
        <v>2.0</v>
      </c>
      <c r="E60" s="7">
        <v>1.0</v>
      </c>
      <c r="F60" s="6">
        <v>0.0</v>
      </c>
      <c r="G60" s="7"/>
      <c r="H60" s="7">
        <f>IFERROR(F60/D60,"")</f>
        <v>0.0</v>
      </c>
      <c r="I60" s="6">
        <v>74.0</v>
      </c>
      <c r="J60" s="6">
        <v>2.0</v>
      </c>
      <c r="K60" s="6">
        <v>0.0</v>
      </c>
      <c r="L60" s="6">
        <v>0.0</v>
      </c>
      <c r="M60" s="6">
        <v>0.0</v>
      </c>
      <c r="N60" s="6">
        <v>0.0</v>
      </c>
      <c r="O60" s="6">
        <v>6.0</v>
      </c>
      <c r="P60" s="7">
        <v>-0.5384615384615384</v>
      </c>
      <c r="Q60" s="6">
        <v>0.0</v>
      </c>
      <c r="R60" s="7"/>
      <c r="S60" s="7">
        <f>IFERROR(Q60/O60,"")</f>
        <v>0.0</v>
      </c>
      <c r="T60" s="6">
        <v>48.0</v>
      </c>
      <c r="U60" s="6">
        <v>6.0</v>
      </c>
      <c r="V60" s="6">
        <v>0.0</v>
      </c>
      <c r="W60" s="6">
        <v>0.0</v>
      </c>
      <c r="X60" s="6">
        <v>0.0</v>
      </c>
      <c r="Y60" s="6">
        <v>0.0</v>
      </c>
      <c r="Z60" s="6">
        <v>0.0</v>
      </c>
      <c r="AA60" s="6">
        <v>0.0</v>
      </c>
      <c r="AB60" s="6">
        <v>0.0</v>
      </c>
    </row>
    <row r="61" spans="1:28" s="1" customFormat="1" ht="16.5">
      <c r="A61" s="1"/>
      <c r="B61" s="5"/>
      <c r="C61" s="5" t="s">
        <v>140</v>
      </c>
      <c r="D61" s="6">
        <v>3.0</v>
      </c>
      <c r="E61" s="7"/>
      <c r="F61" s="6">
        <v>0.0</v>
      </c>
      <c r="G61" s="7"/>
      <c r="H61" s="7">
        <f>IFERROR(F61/D61,"")</f>
        <v>0.0</v>
      </c>
      <c r="I61" s="6">
        <v>67.0</v>
      </c>
      <c r="J61" s="6">
        <v>3.0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7">
        <v>-1.0</v>
      </c>
      <c r="Q61" s="6">
        <v>0.0</v>
      </c>
      <c r="R61" s="7"/>
      <c r="S61" s="7" t="str">
        <f>IFERROR(Q61/O61,"")</f>
        <v/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</row>
    <row r="62" spans="1:28" s="1" customFormat="1" ht="16.5">
      <c r="A62" s="1"/>
      <c r="B62" s="5"/>
      <c r="C62" s="5" t="s">
        <v>141</v>
      </c>
      <c r="D62" s="6">
        <v>2.0</v>
      </c>
      <c r="E62" s="7">
        <v>1.0</v>
      </c>
      <c r="F62" s="6">
        <v>0.0</v>
      </c>
      <c r="G62" s="7"/>
      <c r="H62" s="7">
        <f>IFERROR(F62/D62,"")</f>
        <v>0.0</v>
      </c>
      <c r="I62" s="6">
        <v>108.0</v>
      </c>
      <c r="J62" s="6">
        <v>2.0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7">
        <v>-1.0</v>
      </c>
      <c r="Q62" s="6">
        <v>0.0</v>
      </c>
      <c r="R62" s="7"/>
      <c r="S62" s="7" t="str">
        <f>IFERROR(Q62/O62,"")</f>
        <v/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</row>
    <row r="63" spans="1:28" s="1" customFormat="1" ht="16.5">
      <c r="A63" s="1"/>
      <c r="B63" s="5"/>
      <c r="C63" s="5" t="s">
        <v>142</v>
      </c>
      <c r="D63" s="6">
        <v>1.0</v>
      </c>
      <c r="E63" s="7">
        <v>-0.5</v>
      </c>
      <c r="F63" s="6">
        <v>0.0</v>
      </c>
      <c r="G63" s="7"/>
      <c r="H63" s="7">
        <f>IFERROR(F63/D63,"")</f>
        <v>0.0</v>
      </c>
      <c r="I63" s="6">
        <v>25.0</v>
      </c>
      <c r="J63" s="6">
        <v>1.0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7">
        <v>-1.0</v>
      </c>
      <c r="Q63" s="6">
        <v>0.0</v>
      </c>
      <c r="R63" s="7"/>
      <c r="S63" s="7" t="str">
        <f>IFERROR(Q63/O63,"")</f>
        <v/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</row>
    <row r="64" spans="1:28" s="1" customFormat="1" ht="16.5">
      <c r="A64" s="1"/>
      <c r="B64" s="5"/>
      <c r="C64" s="5" t="s">
        <v>143</v>
      </c>
      <c r="D64" s="6">
        <v>3.0</v>
      </c>
      <c r="E64" s="7">
        <v>0.5</v>
      </c>
      <c r="F64" s="6">
        <v>0.0</v>
      </c>
      <c r="G64" s="7"/>
      <c r="H64" s="7">
        <f>IFERROR(F64/D64,"")</f>
        <v>0.0</v>
      </c>
      <c r="I64" s="6">
        <v>101.0</v>
      </c>
      <c r="J64" s="6">
        <v>2.0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7">
        <v>-1.0</v>
      </c>
      <c r="Q64" s="6">
        <v>0.0</v>
      </c>
      <c r="R64" s="7"/>
      <c r="S64" s="7" t="str">
        <f>IFERROR(Q64/O64,"")</f>
        <v/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</row>
    <row r="65" spans="1:28" s="1" customFormat="1" ht="16.5">
      <c r="A65" s="1"/>
      <c r="B65" s="5"/>
      <c r="C65" s="5" t="s">
        <v>144</v>
      </c>
      <c r="D65" s="6">
        <v>1.0</v>
      </c>
      <c r="E65" s="7">
        <v>0.0</v>
      </c>
      <c r="F65" s="6">
        <v>0.0</v>
      </c>
      <c r="G65" s="7"/>
      <c r="H65" s="7">
        <f>IFERROR(F65/D65,"")</f>
        <v>0.0</v>
      </c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7">
        <v>-1.0</v>
      </c>
      <c r="Q65" s="6">
        <v>0.0</v>
      </c>
      <c r="R65" s="7"/>
      <c r="S65" s="7" t="str">
        <f>IFERROR(Q65/O65,"")</f>
        <v/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</row>
    <row r="66" spans="1:28" s="1" customFormat="1" ht="16.5">
      <c r="A66" s="1"/>
      <c r="B66" s="5"/>
      <c r="C66" s="5" t="s">
        <v>145</v>
      </c>
      <c r="D66" s="6">
        <v>2.0</v>
      </c>
      <c r="E66" s="7">
        <v>0.0</v>
      </c>
      <c r="F66" s="6">
        <v>0.0</v>
      </c>
      <c r="G66" s="7"/>
      <c r="H66" s="7">
        <f>IFERROR(F66/D66,"")</f>
        <v>0.0</v>
      </c>
      <c r="I66" s="6">
        <v>99.0</v>
      </c>
      <c r="J66" s="6">
        <v>2.0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7">
        <v>-1.0</v>
      </c>
      <c r="Q66" s="6">
        <v>0.0</v>
      </c>
      <c r="R66" s="7"/>
      <c r="S66" s="7" t="str">
        <f>IFERROR(Q66/O66,"")</f>
        <v/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</row>
    <row r="67" spans="1:28" s="1" customFormat="1" ht="16.5">
      <c r="A67" s="1"/>
      <c r="B67" s="5"/>
      <c r="C67" s="5" t="s">
        <v>146</v>
      </c>
      <c r="D67" s="6">
        <v>2.0</v>
      </c>
      <c r="E67" s="7"/>
      <c r="F67" s="6">
        <v>0.0</v>
      </c>
      <c r="G67" s="7"/>
      <c r="H67" s="7">
        <f>IFERROR(F67/D67,"")</f>
        <v>0.0</v>
      </c>
      <c r="I67" s="6">
        <v>80.0</v>
      </c>
      <c r="J67" s="6">
        <v>2.0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7">
        <v>-1.0</v>
      </c>
      <c r="Q67" s="6">
        <v>0.0</v>
      </c>
      <c r="R67" s="7"/>
      <c r="S67" s="7" t="str">
        <f>IFERROR(Q67/O67,"")</f>
        <v/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</row>
    <row r="68" spans="1:28" s="1" customFormat="1" ht="16.5">
      <c r="A68" s="1"/>
      <c r="B68" s="5"/>
      <c r="C68" s="5" t="s">
        <v>147</v>
      </c>
      <c r="D68" s="6">
        <v>5.0</v>
      </c>
      <c r="E68" s="7"/>
      <c r="F68" s="6">
        <v>0.0</v>
      </c>
      <c r="G68" s="7"/>
      <c r="H68" s="7">
        <f>IFERROR(F68/D68,"")</f>
        <v>0.0</v>
      </c>
      <c r="I68" s="6">
        <v>113.0</v>
      </c>
      <c r="J68" s="6">
        <v>4.0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7">
        <v>-1.0</v>
      </c>
      <c r="Q68" s="6">
        <v>0.0</v>
      </c>
      <c r="R68" s="7"/>
      <c r="S68" s="7" t="str">
        <f>IFERROR(Q68/O68,"")</f>
        <v/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</row>
    <row r="69" spans="1:28" s="1" customFormat="1" ht="16.5">
      <c r="A69" s="1"/>
      <c r="B69" s="5" t="s">
        <v>91</v>
      </c>
      <c r="C69" s="5" t="s">
        <v>148</v>
      </c>
      <c r="D69" s="6">
        <v>0.0</v>
      </c>
      <c r="E69" s="7"/>
      <c r="F69" s="6">
        <v>0.0</v>
      </c>
      <c r="G69" s="7"/>
      <c r="H69" s="7" t="str">
        <f>IFERROR(F69/D69,"")</f>
        <v/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1.0</v>
      </c>
      <c r="P69" s="7"/>
      <c r="Q69" s="6">
        <v>0.0</v>
      </c>
      <c r="R69" s="7"/>
      <c r="S69" s="7">
        <f>IFERROR(Q69/O69,"")</f>
        <v>0.0</v>
      </c>
      <c r="T69" s="6">
        <v>1.0</v>
      </c>
      <c r="U69" s="6">
        <v>1.0</v>
      </c>
      <c r="V69" s="6">
        <v>0.0</v>
      </c>
      <c r="W69" s="6">
        <v>0.0</v>
      </c>
      <c r="X69" s="6">
        <v>0.0</v>
      </c>
      <c r="Y69" s="6">
        <v>0.0</v>
      </c>
      <c r="Z69" s="6">
        <v>0.0</v>
      </c>
      <c r="AA69" s="6">
        <v>0.0</v>
      </c>
      <c r="AB69" s="6">
        <v>0.0</v>
      </c>
    </row>
    <row r="70" spans="1:28" s="1" customFormat="1" ht="16.5">
      <c r="A70" s="1"/>
      <c r="B70" s="5"/>
      <c r="C70" s="5" t="s">
        <v>149</v>
      </c>
      <c r="D70" s="6">
        <v>1.0</v>
      </c>
      <c r="E70" s="7"/>
      <c r="F70" s="6">
        <v>0.0</v>
      </c>
      <c r="G70" s="7"/>
      <c r="H70" s="7">
        <f>IFERROR(F70/D70,"")</f>
        <v>0.0</v>
      </c>
      <c r="I70" s="6">
        <v>18.0</v>
      </c>
      <c r="J70" s="6">
        <v>0.0</v>
      </c>
      <c r="K70" s="6">
        <v>1.0</v>
      </c>
      <c r="L70" s="6">
        <v>0.0</v>
      </c>
      <c r="M70" s="6">
        <v>0.0</v>
      </c>
      <c r="N70" s="6">
        <v>0.0</v>
      </c>
      <c r="O70" s="6">
        <v>1.0</v>
      </c>
      <c r="P70" s="7">
        <v>-0.6666666666666667</v>
      </c>
      <c r="Q70" s="6">
        <v>0.0</v>
      </c>
      <c r="R70" s="7"/>
      <c r="S70" s="7">
        <f>IFERROR(Q70/O70,"")</f>
        <v>0.0</v>
      </c>
      <c r="T70" s="6">
        <v>1.0</v>
      </c>
      <c r="U70" s="6">
        <v>1.0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</row>
    <row r="71" spans="1:28" s="1" customFormat="1" ht="16.5">
      <c r="A71" s="1"/>
      <c r="B71" s="5"/>
      <c r="C71" s="5" t="s">
        <v>150</v>
      </c>
      <c r="D71" s="6">
        <v>1.0</v>
      </c>
      <c r="E71" s="7"/>
      <c r="F71" s="6">
        <v>0.0</v>
      </c>
      <c r="G71" s="7"/>
      <c r="H71" s="7">
        <f>IFERROR(F71/D71,"")</f>
        <v>0.0</v>
      </c>
      <c r="I71" s="6">
        <v>17.0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4.0</v>
      </c>
      <c r="P71" s="7"/>
      <c r="Q71" s="6">
        <v>4.0</v>
      </c>
      <c r="R71" s="7"/>
      <c r="S71" s="7">
        <f>IFERROR(Q71/O71,"")</f>
        <v>1.0</v>
      </c>
      <c r="T71" s="6">
        <v>260.0</v>
      </c>
      <c r="U71" s="6">
        <v>4.0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</row>
    <row r="72" spans="1:28" s="1" customFormat="1" ht="16.5">
      <c r="A72" s="1"/>
      <c r="B72" s="5"/>
      <c r="C72" s="5" t="s">
        <v>151</v>
      </c>
      <c r="D72" s="6">
        <v>1.0</v>
      </c>
      <c r="E72" s="7">
        <v>-0.5</v>
      </c>
      <c r="F72" s="6">
        <v>0.0</v>
      </c>
      <c r="G72" s="7"/>
      <c r="H72" s="7">
        <f>IFERROR(F72/D72,"")</f>
        <v>0.0</v>
      </c>
      <c r="I72" s="6">
        <v>2.0</v>
      </c>
      <c r="J72" s="6">
        <v>1.0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7">
        <v>-1.0</v>
      </c>
      <c r="Q72" s="6">
        <v>0.0</v>
      </c>
      <c r="R72" s="7"/>
      <c r="S72" s="7" t="str">
        <f>IFERROR(Q72/O72,"")</f>
        <v/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</row>
    <row r="73" spans="1:28" s="1" customFormat="1" ht="16.5">
      <c r="A73" s="1"/>
      <c r="B73" s="5"/>
      <c r="C73" s="5" t="s">
        <v>152</v>
      </c>
      <c r="D73" s="6">
        <v>1.0</v>
      </c>
      <c r="E73" s="7"/>
      <c r="F73" s="6">
        <v>1.0</v>
      </c>
      <c r="G73" s="7"/>
      <c r="H73" s="7">
        <f>IFERROR(F73/D73,"")</f>
        <v>1.0</v>
      </c>
      <c r="I73" s="6">
        <v>96.0</v>
      </c>
      <c r="J73" s="6">
        <v>1.0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7">
        <v>-1.0</v>
      </c>
      <c r="Q73" s="6">
        <v>0.0</v>
      </c>
      <c r="R73" s="7"/>
      <c r="S73" s="7" t="str">
        <f>IFERROR(Q73/O73,"")</f>
        <v/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</row>
    <row r="74" spans="1:28" s="1" customFormat="1" ht="16.5">
      <c r="A74" s="1"/>
      <c r="B74" s="5" t="s">
        <v>93</v>
      </c>
      <c r="C74" s="5" t="s">
        <v>27</v>
      </c>
      <c r="D74" s="6">
        <v>2.0</v>
      </c>
      <c r="E74" s="7">
        <v>1.0</v>
      </c>
      <c r="F74" s="6">
        <v>0.0</v>
      </c>
      <c r="G74" s="7"/>
      <c r="H74" s="7">
        <f>IFERROR(F74/D74,"")</f>
        <v>0.0</v>
      </c>
      <c r="I74" s="6">
        <v>70.0</v>
      </c>
      <c r="J74" s="6">
        <v>2.0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7">
        <v>-1.0</v>
      </c>
      <c r="Q74" s="6">
        <v>0.0</v>
      </c>
      <c r="R74" s="7"/>
      <c r="S74" s="7" t="str">
        <f>IFERROR(Q74/O74,"")</f>
        <v/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</row>
    <row r="75" spans="1:28" s="1" customFormat="1" ht="16.5">
      <c r="A75" s="1"/>
      <c r="B75" s="5"/>
      <c r="C75" s="5" t="s">
        <v>153</v>
      </c>
      <c r="D75" s="6">
        <v>2.0</v>
      </c>
      <c r="E75" s="7">
        <v>1.0</v>
      </c>
      <c r="F75" s="6">
        <v>0.0</v>
      </c>
      <c r="G75" s="7"/>
      <c r="H75" s="7">
        <f>IFERROR(F75/D75,"")</f>
        <v>0.0</v>
      </c>
      <c r="I75" s="6">
        <v>57.0</v>
      </c>
      <c r="J75" s="6">
        <v>2.0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7">
        <v>-1.0</v>
      </c>
      <c r="Q75" s="6">
        <v>0.0</v>
      </c>
      <c r="R75" s="7"/>
      <c r="S75" s="7" t="str">
        <f>IFERROR(Q75/O75,"")</f>
        <v/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</row>
    <row r="76" spans="1:28" s="1" customFormat="1" ht="16.5">
      <c r="A76" s="1"/>
      <c r="B76" s="5"/>
      <c r="C76" s="5" t="s">
        <v>26</v>
      </c>
      <c r="D76" s="6">
        <v>2.0</v>
      </c>
      <c r="E76" s="7">
        <v>1.0</v>
      </c>
      <c r="F76" s="6">
        <v>0.0</v>
      </c>
      <c r="G76" s="7"/>
      <c r="H76" s="7">
        <f>IFERROR(F76/D76,"")</f>
        <v>0.0</v>
      </c>
      <c r="I76" s="6">
        <v>59.0</v>
      </c>
      <c r="J76" s="6">
        <v>2.0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7">
        <v>-1.0</v>
      </c>
      <c r="Q76" s="6">
        <v>0.0</v>
      </c>
      <c r="R76" s="7"/>
      <c r="S76" s="7" t="str">
        <f>IFERROR(Q76/O76,"")</f>
        <v/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</row>
    <row r="77" spans="1:1" s="1" customFormat="1" ht="16.5">
      <c r="A77" s="1"/>
    </row>
    <row r="78" spans="1:1" s="1" customFormat="1" ht="16.5">
      <c r="A78" s="1"/>
    </row>
    <row r="79" spans="2:2" ht="14.25">
      <c r="B79" s="9" t="s">
        <v>28</v>
      </c>
    </row>
    <row r="80" spans="2:2" ht="14.25">
      <c r="B80" s="9" t="s">
        <v>29</v>
      </c>
    </row>
    <row r="81" spans="2:2" ht="14.25">
      <c r="B81" s="9" t="s">
        <v>30</v>
      </c>
    </row>
    <row r="82" spans="2:2" ht="14.25">
      <c r="B82" s="9" t="s">
        <v>31</v>
      </c>
    </row>
    <row r="83" spans="2:2" ht="14.25">
      <c r="B83" s="9" t="s">
        <v>32</v>
      </c>
    </row>
    <row r="84" spans="2:2" ht="14.25">
      <c r="B84" s="9" t="s">
        <v>33</v>
      </c>
    </row>
    <row r="85" spans="2:2" ht="14.25">
      <c r="B85" s="9" t="s">
        <v>73</v>
      </c>
    </row>
    <row r="86" spans="2:2" ht="14.25">
      <c r="B86" s="9" t="s">
        <v>34</v>
      </c>
    </row>
    <row r="87" spans="2:2" ht="14.25">
      <c r="B87" s="9" t="s">
        <v>35</v>
      </c>
    </row>
    <row r="88" spans="2:2" ht="14.25">
      <c r="B88" s="9" t="s">
        <v>36</v>
      </c>
    </row>
    <row r="89" spans="2:2" ht="14.25">
      <c r="B89" s="9" t="s">
        <v>37</v>
      </c>
    </row>
    <row r="90" spans="2:2" ht="14.25">
      <c r="B90" s="9" t="s">
        <v>38</v>
      </c>
    </row>
    <row r="91" spans="2:2" ht="14.25">
      <c r="B91" s="9" t="s">
        <v>39</v>
      </c>
    </row>
    <row r="92" spans="2:2" ht="14.25">
      <c r="B92" s="9" t="s">
        <v>40</v>
      </c>
    </row>
    <row r="93" spans="2:2" ht="14.25">
      <c r="B93" s="9" t="s">
        <v>41</v>
      </c>
    </row>
    <row r="94" spans="2:2" ht="14.25">
      <c r="B94" s="9" t="s">
        <v>42</v>
      </c>
    </row>
    <row r="95" spans="2:2" ht="14.25">
      <c r="B95" s="9" t="s">
        <v>43</v>
      </c>
    </row>
    <row r="96" spans="2:2" ht="14.25">
      <c r="B96" s="9" t="s">
        <v>44</v>
      </c>
    </row>
    <row r="97" spans="2:2" ht="14.25">
      <c r="B97" s="9" t="s">
        <v>45</v>
      </c>
    </row>
    <row r="98" spans="2:2" ht="14.25">
      <c r="B98" s="9" t="s">
        <v>46</v>
      </c>
    </row>
    <row r="99" spans="2:2" ht="14.25">
      <c r="B99" s="9" t="s">
        <v>47</v>
      </c>
    </row>
    <row r="100" spans="2:2" ht="14.25">
      <c r="B100" s="9" t="s">
        <v>48</v>
      </c>
    </row>
    <row r="101" spans="2:2" ht="14.25">
      <c r="B101" s="9" t="s">
        <v>49</v>
      </c>
    </row>
    <row r="102" spans="2:2" ht="14.25">
      <c r="B102" s="9" t="s">
        <v>50</v>
      </c>
    </row>
    <row r="103" spans="2:2" ht="14.25">
      <c r="B103" s="9" t="s">
        <v>51</v>
      </c>
    </row>
    <row r="104" spans="2:2" ht="14.25">
      <c r="B104" s="9" t="s">
        <v>52</v>
      </c>
    </row>
    <row r="105" spans="2:2" ht="14.25">
      <c r="B105" s="9" t="s">
        <v>53</v>
      </c>
    </row>
    <row r="106" spans="2:2" ht="14.25">
      <c r="B106" s="9" t="s">
        <v>54</v>
      </c>
    </row>
    <row r="107" spans="2:2" ht="14.25">
      <c r="B107" s="9" t="s">
        <v>46</v>
      </c>
    </row>
    <row r="108" spans="2:2" ht="14.25">
      <c r="B108" s="9" t="s">
        <v>55</v>
      </c>
    </row>
    <row r="109" spans="2:2" ht="14.25">
      <c r="B109" s="9" t="s">
        <v>56</v>
      </c>
    </row>
    <row r="110" spans="2:2" ht="14.25">
      <c r="B110" s="9" t="s">
        <v>57</v>
      </c>
    </row>
    <row r="111" spans="2:2" ht="14.25">
      <c r="B111" s="9" t="s">
        <v>58</v>
      </c>
    </row>
    <row r="112" spans="2:2" ht="14.25">
      <c r="B112" s="9" t="s">
        <v>59</v>
      </c>
    </row>
    <row r="113" spans="2:2" ht="14.25">
      <c r="B113" s="9" t="s">
        <v>46</v>
      </c>
    </row>
    <row r="114" spans="2:2" ht="14.25">
      <c r="B114" s="9" t="s">
        <v>60</v>
      </c>
    </row>
    <row r="115" spans="2:2" ht="14.25">
      <c r="B115" s="9" t="s">
        <v>61</v>
      </c>
    </row>
    <row r="116" spans="2:2" ht="14.25">
      <c r="B116" s="9" t="s">
        <v>62</v>
      </c>
    </row>
    <row r="117" spans="2:2" ht="14.25">
      <c r="B117" s="9" t="s">
        <v>63</v>
      </c>
    </row>
    <row r="118" spans="2:2" ht="14.25">
      <c r="B118" s="9" t="s">
        <v>64</v>
      </c>
    </row>
    <row r="119" spans="2:2" ht="14.25">
      <c r="B119" s="9" t="s">
        <v>65</v>
      </c>
    </row>
    <row r="120" spans="2:2" ht="14.25">
      <c r="B120" s="9" t="s">
        <v>66</v>
      </c>
    </row>
    <row r="121" spans="2:2" ht="14.25">
      <c r="B121" s="9" t="s">
        <v>67</v>
      </c>
    </row>
    <row r="122" spans="2:2" ht="14.25">
      <c r="B122" s="9" t="s">
        <v>68</v>
      </c>
    </row>
    <row r="123" spans="2:2" ht="14.25">
      <c r="B123" s="9" t="s">
        <v>69</v>
      </c>
    </row>
    <row r="124" spans="2:2" ht="14.25">
      <c r="B124" s="9" t="s">
        <v>70</v>
      </c>
    </row>
    <row r="125" spans="2:2" ht="14.25">
      <c r="B125" s="9" t="s">
        <v>71</v>
      </c>
    </row>
    <row r="126" spans="2:2" ht="14.25">
      <c r="B126" s="9" t="s">
        <v>72</v>
      </c>
    </row>
  </sheetData>
  <mergeCells count="19">
    <mergeCell ref="D1:E1"/>
    <mergeCell ref="F1:G1"/>
    <mergeCell ref="B3:B4"/>
    <mergeCell ref="C3:C4"/>
    <mergeCell ref="D3:I3"/>
    <mergeCell ref="J3:N3"/>
    <mergeCell ref="O3:T3"/>
    <mergeCell ref="U3:AA3"/>
    <mergeCell ref="AB3:AB4"/>
    <mergeCell ref="A5:A13"/>
    <mergeCell ref="A15:A76"/>
    <mergeCell ref="B15:B18"/>
    <mergeCell ref="B19:B25"/>
    <mergeCell ref="B26:B36"/>
    <mergeCell ref="B37:B48"/>
    <mergeCell ref="B49:B56"/>
    <mergeCell ref="B57:B68"/>
    <mergeCell ref="B69:B73"/>
    <mergeCell ref="B74:B76"/>
  </mergeCells>
  <conditionalFormatting sqref="E5:E13 E15:E76">
    <cfRule type="cellIs" priority="9" dxfId="1" operator="greaterThan">
      <formula>0</formula>
    </cfRule>
    <cfRule type="cellIs" priority="10" dxfId="0" operator="lessThan">
      <formula>0</formula>
    </cfRule>
  </conditionalFormatting>
  <conditionalFormatting sqref="G5:G76">
    <cfRule type="cellIs" priority="6" dxfId="1" operator="greaterThan">
      <formula>0</formula>
    </cfRule>
    <cfRule type="cellIs" priority="7" dxfId="0" operator="lessThan">
      <formula>0</formula>
    </cfRule>
  </conditionalFormatting>
  <conditionalFormatting sqref="H5:H1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15:H7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5:P13 R5:R13 P15:P76 R15:R76">
    <cfRule type="cellIs" priority="4" dxfId="1" operator="lessThan">
      <formula>0</formula>
    </cfRule>
    <cfRule type="cellIs" priority="5" dxfId="0" operator="greaterThan">
      <formula>0</formula>
    </cfRule>
  </conditionalFormatting>
  <conditionalFormatting sqref="S5:S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5:S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刘秀芳</dc:creator>
  <cp:keywords/>
  <dc:description/>
  <cp:lastModifiedBy>刘秀芳</cp:lastModifiedBy>
  <dcterms:created xsi:type="dcterms:W3CDTF">2025-08-18T03:51:15Z</dcterms:created>
  <dcterms:modified xsi:type="dcterms:W3CDTF">2025-08-19T08:42:05Z</dcterms:modified>
  <cp:category/>
</cp:coreProperties>
</file>