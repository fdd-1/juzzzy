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uxiufang\Documents\SmartbiSpreadSheetReport\"/>
    </mc:Choice>
  </mc:AlternateContent>
  <bookViews>
    <workbookView xWindow="-120" yWindow="-120" windowWidth="29040" windowHeight="15840" activeTab="0"/>
  </bookViews>
  <sheets>
    <sheet name="汇总" sheetId="1" r:id="rId2"/>
  </sheets>
  <definedNames>
    <definedName name="_0d29139bf46645638b00af7fbe0c489c" hidden="1" comment="SSRRANGE">汇总!$B$17</definedName>
    <definedName name="_159407a3bda747079085c953a97791e8" hidden="1" comment="SSRRANGE">汇总!$T$17</definedName>
    <definedName name="_2081dd1d9c4545b1a10d9878c28f12f5" hidden="1" comment="SSRRANGE">汇总!$G$17</definedName>
    <definedName name="_20dc9e4490ff454f9f85ebdacc422176" hidden="1" comment="SSRRANGE">汇总!$AB$17</definedName>
    <definedName name="_2b34fc97c60f4a2cb8c42f260d6939e6" hidden="1" comment="SSRRANGE">汇总!$AL$5</definedName>
    <definedName name="_2cb37c7482a347adae579a5fb214b743" hidden="1" comment="SSRRANGE">汇总!$S$17</definedName>
    <definedName name="_2d0773e6674745fda73fe984d78d9f56" hidden="1" comment="SSRRANGE">汇总!$F$17</definedName>
    <definedName name="_31a920fe77d0429e97666326a467ffe0" hidden="1" comment="SSRRANGE">汇总!$Q$17</definedName>
    <definedName name="_32ea859bd2f242e18a700044f87821fd" hidden="1" comment="SSRRANGE">汇总!$AJ$5</definedName>
    <definedName name="_3863260cc7f04fa0ac4bdbcf95c31758" hidden="1" comment="SSRRANGE">汇总!$AE$17</definedName>
    <definedName name="_3e71a8fa9b344ad9b8e25a131368197e" hidden="1" comment="SSRRANGE">#REF!</definedName>
    <definedName name="_4ace75e40c714eaaac0ac81985295d4f" hidden="1" comment="SSRRANGE">汇总!$M$17</definedName>
    <definedName name="_52812a56c22e40bb9a9ae2b4823b2660" hidden="1">汇总!$A$4</definedName>
    <definedName name="_555cef0aea904b1a98d91ef5edfb95fa" hidden="1" comment="SSRRANGE">汇总!$E$17</definedName>
    <definedName name="_5cae7b72d30c4282901c6a7da5e00cac" hidden="1" comment="SSRRANGE">汇总!$J$17</definedName>
    <definedName name="_5cd95d31f6b0452087e1da75ace38df9" hidden="1" comment="SSRRANGE">汇总!$L$17</definedName>
    <definedName name="_646a16db3ffc4554ae8bace5bfa89fad" hidden="1" comment="SSRRANGE">汇总!$U$17</definedName>
    <definedName name="_65ff373099b74699af023c742825ca2f" hidden="1" comment="SSRRANGE">#REF!</definedName>
    <definedName name="_66fda06d8e184554aa90329e6b1a367f" hidden="1" comment="SSRRANGE">汇总!$R$17</definedName>
    <definedName name="_68d6dc4a290348ae889b088a2d84f3ed" hidden="1" comment="SSRRANGE">汇总!$C$17</definedName>
    <definedName name="_6a70d0d118bf48eca97c3be0b3f29df7" hidden="1" comment="SSRRANGE">汇总!$AC$17</definedName>
    <definedName name="_6c931c40320c462faecc9973d274f49c" hidden="1" comment="SSRRANGE">汇总!$K$17</definedName>
    <definedName name="_6c93c2b0cc9d4f6785283f2101990709" hidden="1" comment="SSRRANGE">汇总!$P$17</definedName>
    <definedName name="_6ceab4434be347aea274c164beb245e5" hidden="1" comment="SSRRANGE">汇总!$AI$5</definedName>
    <definedName name="_6ddff0f7e4924ec0aab3e4ac9a85b570" hidden="1" comment="SSRRANGE">汇总!$AF$17</definedName>
    <definedName name="_779e3bdebd9947338bdee4f578f20456" hidden="1" comment="SSRRANGE">汇总!$AD$17</definedName>
    <definedName name="_78a8cf1395584d3188b583bff2be092e" hidden="1" comment="SSRRANGE">汇总!$Y$17</definedName>
    <definedName name="_797a42d25c814659be103c5fa6c60f45">汇总!$D$5</definedName>
    <definedName name="_802dedcc1dfc400caef5d90a15bad8e6" hidden="1" comment="SSRRANGE">汇总!$D$17</definedName>
    <definedName name="_87d979d76c9846f2b964c1af13bc543c" hidden="1" comment="SSRRANGE">#REF!</definedName>
    <definedName name="_88735da3033b405c8b7429792b0fb5b3" hidden="1" comment="SSRRANGE">汇总!$I$17</definedName>
    <definedName name="_99160192b73842b8997af245ca907192" hidden="1" comment="SSRRANGE">汇总!$V$17</definedName>
    <definedName name="_9b7c1987bfcc4b338aa5943ac46a8797" hidden="1" comment="SSRRANGE">汇总!$AM$5</definedName>
    <definedName name="_9bba6efd931545149227a9b32ddc90f2" hidden="1" comment="SSRRANGE">汇总!$Z$17</definedName>
    <definedName name="_9cebc8218da64eb29dd8108066e78734" hidden="1" comment="SSRRANGE">#REF!</definedName>
    <definedName name="_9ffa5ebdcdf24fbbace360b965ca4f4a" hidden="1" comment="SSRRANGE">#REF!</definedName>
    <definedName name="_b4fd537e82854a20956baeadfe5cccd7" hidden="1" comment="SSRRANGE">#REF!</definedName>
    <definedName name="_bd5a85e7319f4650aa8220b225d3dd69" hidden="1" comment="SSRRANGE">#REF!</definedName>
    <definedName name="_c5ec321994e5452b93a24f07058dc701" hidden="1" comment="SSRRANGE">汇总!$W$17</definedName>
    <definedName name="_ccf01991036a4328a0283ae1a68060eb" hidden="1" comment="SSRRANGE">汇总!$AA$17</definedName>
    <definedName name="_de3f4950b7194057a151f46e4a1ffadb" hidden="1" comment="SSRRANGE">汇总!$AK$5</definedName>
    <definedName name="_e3d3550c47764bc49863363f07f571ef" hidden="1" comment="SSRRANGE">汇总!$AH$5</definedName>
    <definedName name="_f4322b5d32064552a21a079f04c95455" hidden="1" comment="SSRRANGE">汇总!$AN$5</definedName>
    <definedName name="_fbb6effc104e4dc3b53ee8a01758e270" hidden="1" comment="SSRRANGE">汇总!$AG$17</definedName>
    <definedName name="_fcd13d9644ca41458fd266d7a8c372e6" hidden="1" comment="SSRRANGE">汇总!$O$17</definedName>
    <definedName name="_fe0226d6cea54b06b9b750235a49a5a0" hidden="1" comment="SSRRANGE">汇总!$H$17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04" i="1" l="1"/>
</calcChain>
</file>

<file path=xl/sharedStrings.xml><?xml version="1.0" encoding="utf-8"?>
<sst xmlns="http://schemas.openxmlformats.org/spreadsheetml/2006/main" count="195" uniqueCount="165">
  <si>
    <t>询问性格特征执行率</t>
  </si>
  <si>
    <t>询问学习目标执行率</t>
  </si>
  <si>
    <t>告知请假补课规则执行率</t>
  </si>
  <si>
    <t>告知升舱福利执行率</t>
  </si>
  <si>
    <t>一家多娃问询执行率</t>
  </si>
  <si>
    <t>首通</t>
  </si>
  <si>
    <t>询问上课感受执行率</t>
  </si>
  <si>
    <t>提醒打卡执行率</t>
  </si>
  <si>
    <t>强化课程体系概念执行率</t>
  </si>
  <si>
    <t>首课</t>
  </si>
  <si>
    <t>愿意复课占比</t>
  </si>
  <si>
    <t>不复课占比</t>
  </si>
  <si>
    <t>没时间</t>
  </si>
  <si>
    <t>孩子身体原因</t>
  </si>
  <si>
    <t>退费</t>
  </si>
  <si>
    <t>课时转移</t>
  </si>
  <si>
    <t>没有合适班级</t>
  </si>
  <si>
    <t>其他</t>
  </si>
  <si>
    <t>待确定占比</t>
  </si>
  <si>
    <t>停课唤醒</t>
  </si>
  <si>
    <t>告知打卡规则执行率</t>
  </si>
  <si>
    <t>老师讲的内容学员是否掌握执行率</t>
  </si>
  <si>
    <t>团队</t>
  </si>
  <si>
    <t>LP</t>
  </si>
  <si>
    <t>刘博</t>
  </si>
  <si>
    <t>负责人</t>
  </si>
  <si>
    <t>小组</t>
  </si>
  <si>
    <t>高庆兰</t>
  </si>
  <si>
    <t>询问家长是否满意执行率</t>
  </si>
  <si>
    <t>李欣旭</t>
  </si>
  <si>
    <t>陈旺梅</t>
  </si>
  <si>
    <t>满意</t>
  </si>
  <si>
    <t>部分满意</t>
  </si>
  <si>
    <t>不满意</t>
  </si>
  <si>
    <t>执行率</t>
  </si>
  <si>
    <t>季晓静</t>
  </si>
  <si>
    <t>分析学员数</t>
  </si>
  <si>
    <t>转介绍执行率</t>
  </si>
  <si>
    <t>郑舒婷</t>
  </si>
  <si>
    <t>1、执行率的分母为各场景下小组或个人对应的学员数(包括未执行学员 ），如：</t>
  </si>
  <si>
    <t xml:space="preserve"> 首课场景的分母首课场景中当月首课学员；</t>
  </si>
  <si>
    <t>2、“询问家长是否满意”占比的分母为“询问家长是否满意”语义点的执行学员数；</t>
  </si>
  <si>
    <t xml:space="preserve"> 停课唤醒场景的分母为该场景下当月停课唤醒目标学员；</t>
  </si>
  <si>
    <t>口径说明：</t>
  </si>
  <si>
    <t>3、日期筛选项控制：学员首课月份、停课唤醒目标学员月份、新生月份；  做工时间筛选项控制：语义分析做工时间；</t>
  </si>
  <si>
    <t>海外思维团队默认广州，如需看全部团队数据，去掉该筛选项即可</t>
  </si>
  <si>
    <t>拨通且命中首通场景新生数</t>
  </si>
  <si>
    <t xml:space="preserve"> 首通场景的分母为拨通且命中首通场景新生数（语义分析命中首通场景下的当月新生，且系统累计外呼时长 &gt; 120秒或者企微累计外呼时长 &gt; 0 ）； </t>
  </si>
  <si>
    <t>服务池</t>
  </si>
  <si>
    <t>命中服务池学员数</t>
  </si>
  <si>
    <t>学情反馈执行率</t>
  </si>
  <si>
    <t>学习规划执行率</t>
  </si>
  <si>
    <t>询问家长是否辅导执行率</t>
  </si>
  <si>
    <t>告知转介绍权益执行率</t>
  </si>
  <si>
    <t>告知剩余课时执行率</t>
  </si>
  <si>
    <t>询问家长是否辅导 语义点包括询问家长是否辅导,辅导情况,家长辅导情况,是否辅导孩子</t>
  </si>
  <si>
    <t>告知剩余课时 语义点对应告知剩余课节</t>
  </si>
  <si>
    <t>5、服务池中各执行率的分母为命中服务池学员数、分子为对应的学员命中对应语义点且执行的学员数；</t>
  </si>
  <si>
    <t>语义点执行率加和</t>
  </si>
  <si>
    <t>4、命中服务池学员数：月初运营上传的服务池标签学员，命中服务相关语义点，且系统累计外呼时长&gt;180秒或者企微累计外呼时长&gt;0</t>
  </si>
  <si>
    <t>语义点执行率加和=各语义点执行率加和（即对应语义点：学情反馈,学习规划,告知转介绍权益,告知剩余课节）/ 命中服务池学员数）</t>
  </si>
  <si>
    <t>执行率加和</t>
  </si>
  <si>
    <t>邀请添加企微/WS/Line执行率</t>
  </si>
  <si>
    <t>海外团队</t>
  </si>
  <si>
    <t>刘亚</t>
  </si>
  <si>
    <t>总计</t>
  </si>
  <si>
    <t>台湾组</t>
  </si>
  <si>
    <t>李文韬</t>
  </si>
  <si>
    <t>港澳1组</t>
  </si>
  <si>
    <t>叶素姜</t>
  </si>
  <si>
    <t>港澳2组</t>
  </si>
  <si>
    <t>向梦清</t>
  </si>
  <si>
    <t>港澳组</t>
  </si>
  <si>
    <t>谢昌馥</t>
  </si>
  <si>
    <t>美澳1组</t>
  </si>
  <si>
    <t>刘洋</t>
  </si>
  <si>
    <t>美澳2组</t>
  </si>
  <si>
    <t>沙明亮</t>
  </si>
  <si>
    <t>美澳3组</t>
  </si>
  <si>
    <t>邵婷婷</t>
  </si>
  <si>
    <t>美澳4组</t>
  </si>
  <si>
    <t>万爽</t>
  </si>
  <si>
    <t>美澳5组</t>
  </si>
  <si>
    <t>毕金玲</t>
  </si>
  <si>
    <t>曾耀达</t>
  </si>
  <si>
    <t>洪耀宗</t>
  </si>
  <si>
    <t>罗思情</t>
  </si>
  <si>
    <t>陈慧妍</t>
  </si>
  <si>
    <t>赵松彬</t>
  </si>
  <si>
    <t>阮锦霞</t>
  </si>
  <si>
    <t>温宇豪</t>
  </si>
  <si>
    <t>郑祖惠</t>
  </si>
  <si>
    <t>邝仪森</t>
  </si>
  <si>
    <t>麦美云</t>
  </si>
  <si>
    <t>梁峻豪</t>
  </si>
  <si>
    <t>张海琪</t>
  </si>
  <si>
    <t>李颖杰</t>
  </si>
  <si>
    <t>钟洁琳</t>
  </si>
  <si>
    <t>林明怡</t>
  </si>
  <si>
    <t>王凯智</t>
  </si>
  <si>
    <t>何宛霖</t>
  </si>
  <si>
    <t>林杰聪</t>
  </si>
  <si>
    <t>王柏涛</t>
  </si>
  <si>
    <t>简海玲</t>
  </si>
  <si>
    <t>罗庆环</t>
  </si>
  <si>
    <t>庞岚枫</t>
  </si>
  <si>
    <t>冼智艺</t>
  </si>
  <si>
    <t>黄玉芹</t>
  </si>
  <si>
    <t>叶汝杰</t>
  </si>
  <si>
    <t>陈洁丽</t>
  </si>
  <si>
    <t>刘静然</t>
  </si>
  <si>
    <t>王永霞</t>
  </si>
  <si>
    <t>潘小雅</t>
  </si>
  <si>
    <t>吴嘉雯</t>
  </si>
  <si>
    <t>王一强</t>
  </si>
  <si>
    <t>麦小乐</t>
  </si>
  <si>
    <t>朱肖朋</t>
  </si>
  <si>
    <t>芦小珍</t>
  </si>
  <si>
    <t>杜婷婷</t>
  </si>
  <si>
    <t>郭欣怡</t>
  </si>
  <si>
    <t>阮忻妍</t>
  </si>
  <si>
    <t>尤鹤</t>
  </si>
  <si>
    <t>王新宇</t>
  </si>
  <si>
    <t>李佳佳</t>
  </si>
  <si>
    <t>王路</t>
  </si>
  <si>
    <t>孟瑶</t>
  </si>
  <si>
    <t>迟月</t>
  </si>
  <si>
    <t>孙鹏飞</t>
  </si>
  <si>
    <t>王彦</t>
  </si>
  <si>
    <t>孙浩</t>
  </si>
  <si>
    <t>万美美</t>
  </si>
  <si>
    <t>吴迪</t>
  </si>
  <si>
    <t>于淑艳</t>
  </si>
  <si>
    <t>刘明飞</t>
  </si>
  <si>
    <t>董筠宜</t>
  </si>
  <si>
    <t>王小苗</t>
  </si>
  <si>
    <t>蔡图雅</t>
  </si>
  <si>
    <t>王智文</t>
  </si>
  <si>
    <t>张婷婷</t>
  </si>
  <si>
    <t>冷林鑫</t>
  </si>
  <si>
    <t>周子雅</t>
  </si>
  <si>
    <t>李松榕</t>
  </si>
  <si>
    <t>王旭</t>
  </si>
  <si>
    <t>刘笑</t>
  </si>
  <si>
    <t>石晓杰</t>
  </si>
  <si>
    <t>梁媛</t>
  </si>
  <si>
    <t>王爽</t>
  </si>
  <si>
    <t>刘丹</t>
  </si>
  <si>
    <t>何况</t>
  </si>
  <si>
    <t>王晨</t>
  </si>
  <si>
    <t>郭津池</t>
  </si>
  <si>
    <t>韩明昭</t>
  </si>
  <si>
    <t>张弛</t>
  </si>
  <si>
    <t>田淇</t>
  </si>
  <si>
    <t>刘宇</t>
  </si>
  <si>
    <t>曲慧</t>
  </si>
  <si>
    <t>敖勇</t>
  </si>
  <si>
    <t>刘彤</t>
  </si>
  <si>
    <t>于卓言</t>
  </si>
  <si>
    <t>董思雨</t>
  </si>
  <si>
    <t>范冉</t>
  </si>
  <si>
    <t>邓翔睿</t>
  </si>
  <si>
    <t>齐志昂</t>
  </si>
  <si>
    <t>孙玮</t>
  </si>
  <si>
    <t>李鑫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</si>
</sst>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%"/>
    <numFmt numFmtId="178" formatCode="#,##0_ "/>
    <numFmt numFmtId="179" formatCode="#,##0.0_);[Red]\(#,##0.0\)"/>
    <numFmt numFmtId="180" formatCode="#,##0.0_ "/>
  </numFmts>
  <fonts count="8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-122"/>
      <scheme val="minor"/>
    </font>
    <font>
      <b/>
      <sz val="11"/>
      <color theme="1"/>
      <name val="微软雅黑"/>
      <family val="2"/>
      <charset val="-122"/>
    </font>
    <font>
      <sz val="11"/>
      <color theme="1"/>
      <name val="微软雅黑"/>
      <family val="2"/>
      <charset val="-122"/>
    </font>
    <font>
      <sz val="10"/>
      <color theme="1"/>
      <name val="微软雅黑"/>
      <family val="2"/>
      <charset val="-122"/>
    </font>
    <font>
      <sz val="11"/>
      <color rgb="FFC00000"/>
      <name val="微软雅黑"/>
      <family val="2"/>
      <charset val="-122"/>
    </font>
    <font>
      <sz val="11"/>
      <color rgb="FFFFFFFF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8000860214233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9" tint="0.599990010261535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Protection="0">
      <alignment/>
    </xf>
  </cellStyleXfs>
  <cellXfs count="3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2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78" fontId="4" fillId="0" borderId="1" xfId="20" applyNumberFormat="1" applyFont="1" applyBorder="1" applyAlignment="1">
      <alignment horizontal="center" vertical="center"/>
    </xf>
    <xf numFmtId="179" fontId="4" fillId="0" borderId="1" xfId="20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/>
    </xf>
    <xf numFmtId="180" fontId="0" fillId="0" borderId="0" xfId="0" applyNumberFormat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百分比" xfId="20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9"/>
  <sheetViews>
    <sheetView tabSelected="1" workbookViewId="0" topLeftCell="A1">
      <pane xSplit="4" ySplit="4" topLeftCell="E5" activePane="bottomRight" state="frozen"/>
      <selection pane="topLeft" activeCell="A1" sqref="A1"/>
      <selection pane="bottomLeft" activeCell="A5" sqref="A5"/>
      <selection pane="topRight" activeCell="E1" sqref="E1"/>
      <selection pane="bottomRight" activeCell="L19" sqref="L19"/>
    </sheetView>
  </sheetViews>
  <sheetFormatPr defaultColWidth="8.625" defaultRowHeight="14.25"/>
  <cols>
    <col min="1" max="1" width="4.75" style="9" customWidth="1"/>
    <col min="2" max="2" width="13.625" style="9" customWidth="1"/>
    <col min="3" max="5" width="8.625" style="9"/>
    <col min="6" max="10" width="10.625" style="9" customWidth="1"/>
    <col min="11" max="11" width="13.375" style="9" customWidth="1"/>
    <col min="12" max="14" width="10.625" style="9" customWidth="1"/>
    <col min="15" max="23" width="8.625" style="9"/>
    <col min="24" max="24" width="9.625" style="9" bestFit="1" customWidth="1"/>
    <col min="25" max="36" width="8.625" style="9"/>
    <col min="37" max="37" width="0" style="9" hidden="1" customWidth="1"/>
    <col min="38" max="16384" width="8.625" style="9"/>
  </cols>
  <sheetData>
    <row r="1" spans="1:1" ht="13.5" customHeight="1">
      <c r="A1" s="9"/>
    </row>
    <row r="2" spans="1:41" ht="15">
      <c r="A2" s="9"/>
      <c r="B2" s="36" t="s">
        <v>22</v>
      </c>
      <c r="C2" s="36"/>
      <c r="D2" s="36"/>
      <c r="E2" s="29" t="s">
        <v>5</v>
      </c>
      <c r="F2" s="30"/>
      <c r="G2" s="30"/>
      <c r="H2" s="30"/>
      <c r="I2" s="30"/>
      <c r="J2" s="30"/>
      <c r="K2" s="30"/>
      <c r="L2" s="30"/>
      <c r="M2" s="30"/>
      <c r="N2" s="31"/>
      <c r="O2" s="26" t="s">
        <v>9</v>
      </c>
      <c r="P2" s="27"/>
      <c r="Q2" s="27"/>
      <c r="R2" s="27"/>
      <c r="S2" s="27"/>
      <c r="T2" s="27"/>
      <c r="U2" s="27"/>
      <c r="V2" s="27"/>
      <c r="W2" s="27"/>
      <c r="X2" s="28"/>
      <c r="Y2" s="35" t="s">
        <v>19</v>
      </c>
      <c r="Z2" s="35"/>
      <c r="AA2" s="35"/>
      <c r="AB2" s="35"/>
      <c r="AC2" s="35"/>
      <c r="AD2" s="35"/>
      <c r="AE2" s="35"/>
      <c r="AF2" s="35"/>
      <c r="AG2" s="35"/>
      <c r="AH2" s="26" t="s">
        <v>48</v>
      </c>
      <c r="AI2" s="27"/>
      <c r="AJ2" s="27"/>
      <c r="AK2" s="27"/>
      <c r="AL2" s="27"/>
      <c r="AM2" s="27"/>
      <c r="AN2" s="28"/>
      <c r="AO2" s="17">
        <v>111.0</v>
      </c>
    </row>
    <row r="3" spans="1:40" ht="42" customHeight="1">
      <c r="A3" s="9"/>
      <c r="B3" s="36"/>
      <c r="C3" s="36"/>
      <c r="D3" s="36"/>
      <c r="E3" s="32" t="s">
        <v>46</v>
      </c>
      <c r="F3" s="37" t="s">
        <v>0</v>
      </c>
      <c r="G3" s="37" t="s">
        <v>1</v>
      </c>
      <c r="H3" s="37" t="s">
        <v>2</v>
      </c>
      <c r="I3" s="37" t="s">
        <v>20</v>
      </c>
      <c r="J3" s="37" t="s">
        <v>3</v>
      </c>
      <c r="K3" s="37" t="s">
        <v>62</v>
      </c>
      <c r="L3" s="37" t="s">
        <v>4</v>
      </c>
      <c r="M3" s="32" t="s">
        <v>37</v>
      </c>
      <c r="N3" s="32" t="s">
        <v>61</v>
      </c>
      <c r="O3" s="34" t="s">
        <v>6</v>
      </c>
      <c r="P3" s="34" t="s">
        <v>21</v>
      </c>
      <c r="Q3" s="26" t="s">
        <v>28</v>
      </c>
      <c r="R3" s="27"/>
      <c r="S3" s="27"/>
      <c r="T3" s="28"/>
      <c r="U3" s="34" t="s">
        <v>3</v>
      </c>
      <c r="V3" s="34" t="s">
        <v>7</v>
      </c>
      <c r="W3" s="34" t="s">
        <v>8</v>
      </c>
      <c r="X3" s="24" t="s">
        <v>61</v>
      </c>
      <c r="Y3" s="35" t="s">
        <v>36</v>
      </c>
      <c r="Z3" s="35" t="s">
        <v>10</v>
      </c>
      <c r="AA3" s="35" t="s">
        <v>11</v>
      </c>
      <c r="AB3" s="35"/>
      <c r="AC3" s="35"/>
      <c r="AD3" s="35"/>
      <c r="AE3" s="35"/>
      <c r="AF3" s="35"/>
      <c r="AG3" s="35" t="s">
        <v>18</v>
      </c>
      <c r="AH3" s="24" t="s">
        <v>49</v>
      </c>
      <c r="AI3" s="24" t="s">
        <v>50</v>
      </c>
      <c r="AJ3" s="24" t="s">
        <v>51</v>
      </c>
      <c r="AK3" s="24" t="s">
        <v>52</v>
      </c>
      <c r="AL3" s="24" t="s">
        <v>53</v>
      </c>
      <c r="AM3" s="24" t="s">
        <v>54</v>
      </c>
      <c r="AN3" s="24" t="s">
        <v>58</v>
      </c>
    </row>
    <row r="4" spans="1:40" ht="15" customHeight="1">
      <c r="A4" s="9"/>
      <c r="B4" s="3" t="s">
        <v>26</v>
      </c>
      <c r="C4" s="3" t="s">
        <v>25</v>
      </c>
      <c r="D4" s="3" t="s">
        <v>23</v>
      </c>
      <c r="E4" s="33"/>
      <c r="F4" s="37"/>
      <c r="G4" s="37"/>
      <c r="H4" s="37"/>
      <c r="I4" s="37"/>
      <c r="J4" s="37"/>
      <c r="K4" s="37"/>
      <c r="L4" s="37"/>
      <c r="M4" s="33"/>
      <c r="N4" s="33"/>
      <c r="O4" s="34"/>
      <c r="P4" s="34"/>
      <c r="Q4" s="8" t="s">
        <v>34</v>
      </c>
      <c r="R4" s="8" t="s">
        <v>31</v>
      </c>
      <c r="S4" s="8" t="s">
        <v>32</v>
      </c>
      <c r="T4" s="8" t="s">
        <v>33</v>
      </c>
      <c r="U4" s="34"/>
      <c r="V4" s="34"/>
      <c r="W4" s="34"/>
      <c r="X4" s="25"/>
      <c r="Y4" s="35"/>
      <c r="Z4" s="35"/>
      <c r="AA4" s="1" t="s">
        <v>12</v>
      </c>
      <c r="AB4" s="1" t="s">
        <v>13</v>
      </c>
      <c r="AC4" s="1" t="s">
        <v>14</v>
      </c>
      <c r="AD4" s="1" t="s">
        <v>15</v>
      </c>
      <c r="AE4" s="1" t="s">
        <v>16</v>
      </c>
      <c r="AF4" s="1" t="s">
        <v>17</v>
      </c>
      <c r="AG4" s="35"/>
      <c r="AH4" s="25"/>
      <c r="AI4" s="25"/>
      <c r="AJ4" s="25"/>
      <c r="AK4" s="25"/>
      <c r="AL4" s="25"/>
      <c r="AM4" s="25"/>
      <c r="AN4" s="25"/>
    </row>
    <row r="5" spans="1:40" s="4" customFormat="1" ht="16.5">
      <c r="A5" s="4"/>
      <c r="B5" s="2" t="s">
        <v>63</v>
      </c>
      <c r="C5" s="2" t="s">
        <v>64</v>
      </c>
      <c r="D5" s="2" t="s">
        <v>65</v>
      </c>
      <c r="E5" s="11">
        <v>142.0</v>
      </c>
      <c r="F5" s="6">
        <v>0.45774647887323944</v>
      </c>
      <c r="G5" s="6">
        <v>0.43661971830985913</v>
      </c>
      <c r="H5" s="6">
        <v>0.8309859154929577</v>
      </c>
      <c r="I5" s="6">
        <v>0.8591549295774648</v>
      </c>
      <c r="J5" s="6">
        <v>0.7816901408450704</v>
      </c>
      <c r="K5" s="6">
        <v>0.4507042253521127</v>
      </c>
      <c r="L5" s="6">
        <v>0.7676056338028169</v>
      </c>
      <c r="M5" s="6">
        <v>0.7676056338028169</v>
      </c>
      <c r="N5" s="21">
        <f>F5+G5+H5+I5+J5+K5+L5+M5</f>
        <v>5.352112676056338</v>
      </c>
      <c r="O5" s="6">
        <v>0.6129032258064516</v>
      </c>
      <c r="P5" s="6">
        <v>0.34408602150537637</v>
      </c>
      <c r="Q5" s="6">
        <v>0.6344086021505376</v>
      </c>
      <c r="R5" s="6">
        <v>0.4406779661016949</v>
      </c>
      <c r="S5" s="6">
        <v>0.4745762711864407</v>
      </c>
      <c r="T5" s="6">
        <v>0.1016949152542373</v>
      </c>
      <c r="U5" s="6">
        <v>0.11827956989247312</v>
      </c>
      <c r="V5" s="6">
        <v>0.3978494623655914</v>
      </c>
      <c r="W5" s="6">
        <v>0.13978494623655913</v>
      </c>
      <c r="X5" s="23">
        <f>O5+P5+Q5+U5+V5+W5</f>
        <v>2.247311827956989</v>
      </c>
      <c r="Y5" s="5">
        <v>47.0</v>
      </c>
      <c r="Z5" s="7">
        <v>0.46808510638297873</v>
      </c>
      <c r="AA5" s="7">
        <v>0.2978723404255319</v>
      </c>
      <c r="AB5" s="7">
        <v>0.0</v>
      </c>
      <c r="AC5" s="7">
        <v>0.02127659574468085</v>
      </c>
      <c r="AD5" s="7">
        <v>0.02127659574468085</v>
      </c>
      <c r="AE5" s="7">
        <v>0.0425531914893617</v>
      </c>
      <c r="AF5" s="7">
        <v>0.06382978723404255</v>
      </c>
      <c r="AG5" s="7">
        <v>0.3191489361702128</v>
      </c>
      <c r="AH5" s="18">
        <v>64.0</v>
      </c>
      <c r="AI5" s="7">
        <v>0.5</v>
      </c>
      <c r="AJ5" s="7">
        <v>0.3125</v>
      </c>
      <c r="AK5" s="7">
        <v>0.15625</v>
      </c>
      <c r="AL5" s="7">
        <v>0.484375</v>
      </c>
      <c r="AM5" s="7">
        <v>0.25</v>
      </c>
      <c r="AN5" s="19">
        <v>1.546875</v>
      </c>
    </row>
    <row r="6" spans="1:40" ht="6" customHeight="1">
      <c r="A6" s="9"/>
      <c r="E6" s="12"/>
      <c r="M6" s="10"/>
      <c r="N6" s="22"/>
      <c r="X6" s="20"/>
      <c r="AN6" s="20"/>
    </row>
    <row r="7" spans="1:40" s="4" customFormat="1" ht="16.5">
      <c r="A7" s="4"/>
      <c r="B7" s="2" t="s">
        <v>66</v>
      </c>
      <c r="C7" s="2" t="s">
        <v>67</v>
      </c>
      <c r="D7" s="2" t="s">
        <v>65</v>
      </c>
      <c r="E7" s="11">
        <v>28.0</v>
      </c>
      <c r="F7" s="6">
        <v>0.75</v>
      </c>
      <c r="G7" s="6">
        <v>0.5714285714285714</v>
      </c>
      <c r="H7" s="6">
        <v>0.8571428571428571</v>
      </c>
      <c r="I7" s="6">
        <v>0.8214285714285714</v>
      </c>
      <c r="J7" s="6">
        <v>0.7857142857142857</v>
      </c>
      <c r="K7" s="6">
        <v>0.2857142857142857</v>
      </c>
      <c r="L7" s="6">
        <v>0.7142857142857143</v>
      </c>
      <c r="M7" s="6">
        <v>0.6785714285714286</v>
      </c>
      <c r="N7" s="21">
        <f>F7+G7+H7+I7+J7+K7+L7+M7</f>
        <v>5.464285714285714</v>
      </c>
      <c r="O7" s="6">
        <v>0.7333333333333333</v>
      </c>
      <c r="P7" s="6">
        <v>0.36666666666666664</v>
      </c>
      <c r="Q7" s="6">
        <v>0.7666666666666667</v>
      </c>
      <c r="R7" s="6">
        <v>0.391304347826087</v>
      </c>
      <c r="S7" s="6">
        <v>0.5652173913043478</v>
      </c>
      <c r="T7" s="6">
        <v>0.043478260869565216</v>
      </c>
      <c r="U7" s="6">
        <v>0.1</v>
      </c>
      <c r="V7" s="6">
        <v>0.26666666666666666</v>
      </c>
      <c r="W7" s="6">
        <v>0.16666666666666666</v>
      </c>
      <c r="X7" s="23">
        <f>O7+P7+Q7+U7+V7+W7</f>
        <v>2.4</v>
      </c>
      <c r="Y7" s="5">
        <v>2.0</v>
      </c>
      <c r="Z7" s="7">
        <v>0.5</v>
      </c>
      <c r="AA7" s="7">
        <v>0.0</v>
      </c>
      <c r="AB7" s="7">
        <v>0.0</v>
      </c>
      <c r="AC7" s="7">
        <v>0.0</v>
      </c>
      <c r="AD7" s="7">
        <v>0.0</v>
      </c>
      <c r="AE7" s="7">
        <v>0.0</v>
      </c>
      <c r="AF7" s="7">
        <v>0.0</v>
      </c>
      <c r="AG7" s="7">
        <v>0.5</v>
      </c>
      <c r="AH7" s="18">
        <v>1.0</v>
      </c>
      <c r="AI7" s="7">
        <v>1.0</v>
      </c>
      <c r="AJ7" s="7">
        <v>1.0</v>
      </c>
      <c r="AK7" s="7">
        <v>0.0</v>
      </c>
      <c r="AL7" s="7">
        <v>0.0</v>
      </c>
      <c r="AM7" s="7">
        <v>1.0</v>
      </c>
      <c r="AN7" s="19">
        <v>3.0</v>
      </c>
    </row>
    <row r="8" spans="1:40" s="4" customFormat="1" ht="16.5">
      <c r="A8" s="4"/>
      <c r="B8" s="2" t="s">
        <v>68</v>
      </c>
      <c r="C8" s="2" t="s">
        <v>69</v>
      </c>
      <c r="D8" s="2" t="s">
        <v>65</v>
      </c>
      <c r="E8" s="11">
        <v>29.0</v>
      </c>
      <c r="F8" s="6">
        <v>0.4482758620689655</v>
      </c>
      <c r="G8" s="6">
        <v>0.3103448275862069</v>
      </c>
      <c r="H8" s="6">
        <v>0.9655172413793104</v>
      </c>
      <c r="I8" s="6">
        <v>0.8620689655172413</v>
      </c>
      <c r="J8" s="6">
        <v>0.8275862068965517</v>
      </c>
      <c r="K8" s="6">
        <v>0.8620689655172413</v>
      </c>
      <c r="L8" s="6">
        <v>0.7931034482758621</v>
      </c>
      <c r="M8" s="6">
        <v>0.7931034482758621</v>
      </c>
      <c r="N8" s="21">
        <f>F8+G8+H8+I8+J8+K8+L8+M8</f>
        <v>5.862068965517241</v>
      </c>
      <c r="O8" s="6">
        <v>0.6428571428571429</v>
      </c>
      <c r="P8" s="6">
        <v>0.35714285714285715</v>
      </c>
      <c r="Q8" s="6">
        <v>0.5</v>
      </c>
      <c r="R8" s="6">
        <v>0.5714285714285714</v>
      </c>
      <c r="S8" s="6">
        <v>0.42857142857142855</v>
      </c>
      <c r="T8" s="6">
        <v>0.0</v>
      </c>
      <c r="U8" s="6">
        <v>0.07142857142857142</v>
      </c>
      <c r="V8" s="6">
        <v>0.35714285714285715</v>
      </c>
      <c r="W8" s="6">
        <v>0.14285714285714285</v>
      </c>
      <c r="X8" s="23">
        <f>O8+P8+Q8+U8+V8+W8</f>
        <v>2.0714285714285716</v>
      </c>
      <c r="Y8" s="5">
        <v>8.0</v>
      </c>
      <c r="Z8" s="7">
        <v>0.375</v>
      </c>
      <c r="AA8" s="7">
        <v>0.125</v>
      </c>
      <c r="AB8" s="7">
        <v>0.0</v>
      </c>
      <c r="AC8" s="7">
        <v>0.0</v>
      </c>
      <c r="AD8" s="7">
        <v>0.0</v>
      </c>
      <c r="AE8" s="7">
        <v>0.0</v>
      </c>
      <c r="AF8" s="7">
        <v>0.0</v>
      </c>
      <c r="AG8" s="7">
        <v>0.5</v>
      </c>
      <c r="AH8" s="18">
        <v>8.0</v>
      </c>
      <c r="AI8" s="7">
        <v>0.5</v>
      </c>
      <c r="AJ8" s="7">
        <v>0.5</v>
      </c>
      <c r="AK8" s="7">
        <v>0.125</v>
      </c>
      <c r="AL8" s="7">
        <v>0.75</v>
      </c>
      <c r="AM8" s="7">
        <v>0.375</v>
      </c>
      <c r="AN8" s="19">
        <v>2.125</v>
      </c>
    </row>
    <row r="9" spans="1:40" s="4" customFormat="1" ht="16.5">
      <c r="A9" s="4"/>
      <c r="B9" s="2" t="s">
        <v>70</v>
      </c>
      <c r="C9" s="2" t="s">
        <v>71</v>
      </c>
      <c r="D9" s="2" t="s">
        <v>65</v>
      </c>
      <c r="E9" s="11">
        <v>16.0</v>
      </c>
      <c r="F9" s="6">
        <v>0.6875</v>
      </c>
      <c r="G9" s="6">
        <v>0.75</v>
      </c>
      <c r="H9" s="6">
        <v>0.875</v>
      </c>
      <c r="I9" s="6">
        <v>0.9375</v>
      </c>
      <c r="J9" s="6">
        <v>0.9375</v>
      </c>
      <c r="K9" s="6">
        <v>0.375</v>
      </c>
      <c r="L9" s="6">
        <v>0.75</v>
      </c>
      <c r="M9" s="6">
        <v>0.8125</v>
      </c>
      <c r="N9" s="21">
        <f>F9+G9+H9+I9+J9+K9+L9+M9</f>
        <v>6.125</v>
      </c>
      <c r="O9" s="6">
        <v>0.4375</v>
      </c>
      <c r="P9" s="6">
        <v>0.3125</v>
      </c>
      <c r="Q9" s="6">
        <v>0.5625</v>
      </c>
      <c r="R9" s="6">
        <v>0.5555555555555556</v>
      </c>
      <c r="S9" s="6">
        <v>0.3333333333333333</v>
      </c>
      <c r="T9" s="6">
        <v>0.1111111111111111</v>
      </c>
      <c r="U9" s="6">
        <v>0.0625</v>
      </c>
      <c r="V9" s="6">
        <v>0.3125</v>
      </c>
      <c r="W9" s="6">
        <v>0.0625</v>
      </c>
      <c r="X9" s="23">
        <f>O9+P9+Q9+U9+V9+W9</f>
        <v>1.75</v>
      </c>
      <c r="Y9" s="5">
        <v>3.0</v>
      </c>
      <c r="Z9" s="7">
        <v>0.6666666666666666</v>
      </c>
      <c r="AA9" s="7">
        <v>0.6666666666666666</v>
      </c>
      <c r="AB9" s="7">
        <v>0.0</v>
      </c>
      <c r="AC9" s="7">
        <v>0.0</v>
      </c>
      <c r="AD9" s="7">
        <v>0.0</v>
      </c>
      <c r="AE9" s="7">
        <v>0.0</v>
      </c>
      <c r="AF9" s="7">
        <v>0.0</v>
      </c>
      <c r="AG9" s="7">
        <v>0.3333333333333333</v>
      </c>
      <c r="AH9" s="18">
        <v>8.0</v>
      </c>
      <c r="AI9" s="7">
        <v>0.5</v>
      </c>
      <c r="AJ9" s="7">
        <v>0.125</v>
      </c>
      <c r="AK9" s="7">
        <v>0.125</v>
      </c>
      <c r="AL9" s="7">
        <v>0.625</v>
      </c>
      <c r="AM9" s="7">
        <v>0.375</v>
      </c>
      <c r="AN9" s="19">
        <v>1.625</v>
      </c>
    </row>
    <row r="10" spans="1:40" s="4" customFormat="1" ht="16.5">
      <c r="A10" s="4"/>
      <c r="B10" s="2" t="s">
        <v>72</v>
      </c>
      <c r="C10" s="2" t="s">
        <v>73</v>
      </c>
      <c r="D10" s="2" t="s">
        <v>65</v>
      </c>
      <c r="E10" s="11">
        <v>20.0</v>
      </c>
      <c r="F10" s="6">
        <v>0.4</v>
      </c>
      <c r="G10" s="6">
        <v>0.4</v>
      </c>
      <c r="H10" s="6">
        <v>0.6</v>
      </c>
      <c r="I10" s="6">
        <v>0.8</v>
      </c>
      <c r="J10" s="6">
        <v>0.65</v>
      </c>
      <c r="K10" s="6">
        <v>0.25</v>
      </c>
      <c r="L10" s="6">
        <v>0.8</v>
      </c>
      <c r="M10" s="6">
        <v>0.8</v>
      </c>
      <c r="N10" s="21">
        <f>F10+G10+H10+I10+J10+K10+L10+M10</f>
        <v>4.7</v>
      </c>
      <c r="O10" s="6">
        <v>0.6</v>
      </c>
      <c r="P10" s="6">
        <v>0.2</v>
      </c>
      <c r="Q10" s="6">
        <v>0.5</v>
      </c>
      <c r="R10" s="6">
        <v>0.2</v>
      </c>
      <c r="S10" s="6">
        <v>0.6</v>
      </c>
      <c r="T10" s="6">
        <v>0.2</v>
      </c>
      <c r="U10" s="6">
        <v>0.0</v>
      </c>
      <c r="V10" s="6">
        <v>0.6</v>
      </c>
      <c r="W10" s="6">
        <v>0.0</v>
      </c>
      <c r="X10" s="23">
        <f>O10+P10+Q10+U10+V10+W10</f>
        <v>1.9</v>
      </c>
      <c r="Y10" s="5">
        <v>6.0</v>
      </c>
      <c r="Z10" s="7">
        <v>0.16666666666666666</v>
      </c>
      <c r="AA10" s="7">
        <v>0.16666666666666666</v>
      </c>
      <c r="AB10" s="7">
        <v>0.0</v>
      </c>
      <c r="AC10" s="7">
        <v>0.16666666666666666</v>
      </c>
      <c r="AD10" s="7">
        <v>0.0</v>
      </c>
      <c r="AE10" s="7">
        <v>0.0</v>
      </c>
      <c r="AF10" s="7">
        <v>0.16666666666666666</v>
      </c>
      <c r="AG10" s="7">
        <v>0.3333333333333333</v>
      </c>
      <c r="AH10" s="18">
        <v>10.0</v>
      </c>
      <c r="AI10" s="7">
        <v>0.7</v>
      </c>
      <c r="AJ10" s="7">
        <v>0.4</v>
      </c>
      <c r="AK10" s="7">
        <v>0.1</v>
      </c>
      <c r="AL10" s="7">
        <v>0.8</v>
      </c>
      <c r="AM10" s="7">
        <v>0.3</v>
      </c>
      <c r="AN10" s="19">
        <v>2.2</v>
      </c>
    </row>
    <row r="11" spans="1:40" s="4" customFormat="1" ht="16.5">
      <c r="A11" s="4"/>
      <c r="B11" s="2" t="s">
        <v>74</v>
      </c>
      <c r="C11" s="2" t="s">
        <v>75</v>
      </c>
      <c r="D11" s="2" t="s">
        <v>65</v>
      </c>
      <c r="E11" s="11">
        <v>16.0</v>
      </c>
      <c r="F11" s="6">
        <v>0.25</v>
      </c>
      <c r="G11" s="6">
        <v>0.1875</v>
      </c>
      <c r="H11" s="6">
        <v>0.875</v>
      </c>
      <c r="I11" s="6">
        <v>0.875</v>
      </c>
      <c r="J11" s="6">
        <v>0.875</v>
      </c>
      <c r="K11" s="6">
        <v>0.0625</v>
      </c>
      <c r="L11" s="6">
        <v>0.625</v>
      </c>
      <c r="M11" s="6">
        <v>0.8125</v>
      </c>
      <c r="N11" s="21">
        <f>F11+G11+H11+I11+J11+K11+L11+M11</f>
        <v>4.5625</v>
      </c>
      <c r="O11" s="6">
        <v>0.5454545454545454</v>
      </c>
      <c r="P11" s="6">
        <v>0.45454545454545453</v>
      </c>
      <c r="Q11" s="6">
        <v>0.6363636363636364</v>
      </c>
      <c r="R11" s="6">
        <v>0.42857142857142855</v>
      </c>
      <c r="S11" s="6">
        <v>0.42857142857142855</v>
      </c>
      <c r="T11" s="6">
        <v>0.14285714285714285</v>
      </c>
      <c r="U11" s="6">
        <v>0.36363636363636365</v>
      </c>
      <c r="V11" s="6">
        <v>0.45454545454545453</v>
      </c>
      <c r="W11" s="6">
        <v>0.18181818181818182</v>
      </c>
      <c r="X11" s="23">
        <f>O11+P11+Q11+U11+V11+W11</f>
        <v>2.6363636363636362</v>
      </c>
      <c r="Y11" s="5">
        <v>12.0</v>
      </c>
      <c r="Z11" s="7">
        <v>0.5</v>
      </c>
      <c r="AA11" s="7">
        <v>0.3333333333333333</v>
      </c>
      <c r="AB11" s="7">
        <v>0.0</v>
      </c>
      <c r="AC11" s="7">
        <v>0.0</v>
      </c>
      <c r="AD11" s="7">
        <v>0.08333333333333333</v>
      </c>
      <c r="AE11" s="7">
        <v>0.08333333333333333</v>
      </c>
      <c r="AF11" s="7">
        <v>0.0</v>
      </c>
      <c r="AG11" s="7">
        <v>0.25</v>
      </c>
      <c r="AH11" s="18">
        <v>11.0</v>
      </c>
      <c r="AI11" s="7">
        <v>0.36363636363636365</v>
      </c>
      <c r="AJ11" s="7">
        <v>0.45454545454545453</v>
      </c>
      <c r="AK11" s="7">
        <v>0.18181818181818182</v>
      </c>
      <c r="AL11" s="7">
        <v>0.18181818181818182</v>
      </c>
      <c r="AM11" s="7">
        <v>0.18181818181818182</v>
      </c>
      <c r="AN11" s="19">
        <v>1.1818181818181819</v>
      </c>
    </row>
    <row r="12" spans="1:40" s="4" customFormat="1" ht="16.5">
      <c r="A12" s="4"/>
      <c r="B12" s="2" t="s">
        <v>76</v>
      </c>
      <c r="C12" s="2" t="s">
        <v>77</v>
      </c>
      <c r="D12" s="2" t="s">
        <v>65</v>
      </c>
      <c r="E12" s="11">
        <v>8.0</v>
      </c>
      <c r="F12" s="6">
        <v>0.125</v>
      </c>
      <c r="G12" s="6">
        <v>0.375</v>
      </c>
      <c r="H12" s="6">
        <v>0.875</v>
      </c>
      <c r="I12" s="6">
        <v>0.75</v>
      </c>
      <c r="J12" s="6">
        <v>0.375</v>
      </c>
      <c r="K12" s="6">
        <v>0.5</v>
      </c>
      <c r="L12" s="6">
        <v>1.0</v>
      </c>
      <c r="M12" s="6">
        <v>0.5</v>
      </c>
      <c r="N12" s="21">
        <f>F12+G12+H12+I12+J12+K12+L12+M12</f>
        <v>4.5</v>
      </c>
      <c r="O12" s="6">
        <v>0.75</v>
      </c>
      <c r="P12" s="6">
        <v>0.0</v>
      </c>
      <c r="Q12" s="6">
        <v>0.75</v>
      </c>
      <c r="R12" s="6">
        <v>0.6666666666666666</v>
      </c>
      <c r="S12" s="6">
        <v>0.0</v>
      </c>
      <c r="T12" s="6">
        <v>0.3333333333333333</v>
      </c>
      <c r="U12" s="6">
        <v>0.25</v>
      </c>
      <c r="V12" s="6">
        <v>0.75</v>
      </c>
      <c r="W12" s="6">
        <v>0.5</v>
      </c>
      <c r="X12" s="23">
        <f>O12+P12+Q12+U12+V12+W12</f>
        <v>3.0</v>
      </c>
      <c r="Y12" s="5">
        <v>8.0</v>
      </c>
      <c r="Z12" s="7">
        <v>0.75</v>
      </c>
      <c r="AA12" s="7">
        <v>0.25</v>
      </c>
      <c r="AB12" s="7">
        <v>0.0</v>
      </c>
      <c r="AC12" s="7">
        <v>0.0</v>
      </c>
      <c r="AD12" s="7">
        <v>0.0</v>
      </c>
      <c r="AE12" s="7">
        <v>0.0</v>
      </c>
      <c r="AF12" s="7">
        <v>0.125</v>
      </c>
      <c r="AG12" s="7">
        <v>0.125</v>
      </c>
      <c r="AH12" s="18">
        <v>14.0</v>
      </c>
      <c r="AI12" s="7">
        <v>0.35714285714285715</v>
      </c>
      <c r="AJ12" s="7">
        <v>0.14285714285714285</v>
      </c>
      <c r="AK12" s="7">
        <v>0.07142857142857142</v>
      </c>
      <c r="AL12" s="7">
        <v>0.42857142857142855</v>
      </c>
      <c r="AM12" s="7">
        <v>0.07142857142857142</v>
      </c>
      <c r="AN12" s="19">
        <v>1.0</v>
      </c>
    </row>
    <row r="13" spans="1:40" s="4" customFormat="1" ht="16.5">
      <c r="A13" s="4"/>
      <c r="B13" s="2" t="s">
        <v>78</v>
      </c>
      <c r="C13" s="2" t="s">
        <v>79</v>
      </c>
      <c r="D13" s="2" t="s">
        <v>65</v>
      </c>
      <c r="E13" s="11">
        <v>9.0</v>
      </c>
      <c r="F13" s="6">
        <v>0.2222222222222222</v>
      </c>
      <c r="G13" s="6">
        <v>0.7777777777777778</v>
      </c>
      <c r="H13" s="6">
        <v>0.8888888888888888</v>
      </c>
      <c r="I13" s="6">
        <v>1.0</v>
      </c>
      <c r="J13" s="6">
        <v>1.0</v>
      </c>
      <c r="K13" s="6">
        <v>0.6666666666666666</v>
      </c>
      <c r="L13" s="6">
        <v>0.8888888888888888</v>
      </c>
      <c r="M13" s="6">
        <v>0.8888888888888888</v>
      </c>
      <c r="N13" s="21">
        <f>F13+G13+H13+I13+J13+K13+L13+M13</f>
        <v>6.333333333333334</v>
      </c>
      <c r="O13" s="6">
        <v>0.3333333333333333</v>
      </c>
      <c r="P13" s="6">
        <v>0.3333333333333333</v>
      </c>
      <c r="Q13" s="6">
        <v>0.6666666666666666</v>
      </c>
      <c r="R13" s="6">
        <v>1.0</v>
      </c>
      <c r="S13" s="6">
        <v>0.0</v>
      </c>
      <c r="T13" s="6">
        <v>0.0</v>
      </c>
      <c r="U13" s="6">
        <v>0.3333333333333333</v>
      </c>
      <c r="V13" s="6">
        <v>0.3333333333333333</v>
      </c>
      <c r="W13" s="6">
        <v>0.0</v>
      </c>
      <c r="X13" s="23">
        <f>O13+P13+Q13+U13+V13+W13</f>
        <v>1.9999999999999998</v>
      </c>
      <c r="Y13" s="5">
        <v>2.0</v>
      </c>
      <c r="Z13" s="7">
        <v>1.0</v>
      </c>
      <c r="AA13" s="7">
        <v>0.5</v>
      </c>
      <c r="AB13" s="7">
        <v>0.0</v>
      </c>
      <c r="AC13" s="7">
        <v>0.0</v>
      </c>
      <c r="AD13" s="7">
        <v>0.0</v>
      </c>
      <c r="AE13" s="7">
        <v>0.0</v>
      </c>
      <c r="AF13" s="7">
        <v>0.0</v>
      </c>
      <c r="AG13" s="7">
        <v>0.0</v>
      </c>
      <c r="AH13" s="18">
        <v>2.0</v>
      </c>
      <c r="AI13" s="7">
        <v>0.0</v>
      </c>
      <c r="AJ13" s="7">
        <v>0.0</v>
      </c>
      <c r="AK13" s="7">
        <v>0.0</v>
      </c>
      <c r="AL13" s="7">
        <v>0.0</v>
      </c>
      <c r="AM13" s="7">
        <v>0.0</v>
      </c>
      <c r="AN13" s="19">
        <v>0.0</v>
      </c>
    </row>
    <row r="14" spans="1:40" s="4" customFormat="1" ht="16.5">
      <c r="A14" s="4"/>
      <c r="B14" s="2" t="s">
        <v>80</v>
      </c>
      <c r="C14" s="2" t="s">
        <v>81</v>
      </c>
      <c r="D14" s="2" t="s">
        <v>65</v>
      </c>
      <c r="E14" s="11">
        <v>4.0</v>
      </c>
      <c r="F14" s="6">
        <v>0.25</v>
      </c>
      <c r="G14" s="6">
        <v>0.0</v>
      </c>
      <c r="H14" s="6">
        <v>1.0</v>
      </c>
      <c r="I14" s="6">
        <v>1.0</v>
      </c>
      <c r="J14" s="6">
        <v>0.75</v>
      </c>
      <c r="K14" s="6">
        <v>0.75</v>
      </c>
      <c r="L14" s="6">
        <v>1.0</v>
      </c>
      <c r="M14" s="6">
        <v>1.0</v>
      </c>
      <c r="N14" s="21">
        <f>F14+G14+H14+I14+J14+K14+L14+M14</f>
        <v>5.75</v>
      </c>
      <c r="O14" s="6">
        <v>0.5</v>
      </c>
      <c r="P14" s="6">
        <v>0.5</v>
      </c>
      <c r="Q14" s="6">
        <v>0.5</v>
      </c>
      <c r="R14" s="6">
        <v>0.0</v>
      </c>
      <c r="S14" s="6">
        <v>1.0</v>
      </c>
      <c r="T14" s="6">
        <v>0.0</v>
      </c>
      <c r="U14" s="6">
        <v>0.0</v>
      </c>
      <c r="V14" s="6">
        <v>0.5</v>
      </c>
      <c r="W14" s="6">
        <v>0.0</v>
      </c>
      <c r="X14" s="23">
        <f>O14+P14+Q14+U14+V14+W14</f>
        <v>2.0</v>
      </c>
      <c r="Y14" s="5">
        <v>5.0</v>
      </c>
      <c r="Z14" s="7">
        <v>0.2</v>
      </c>
      <c r="AA14" s="7">
        <v>0.6</v>
      </c>
      <c r="AB14" s="7">
        <v>0.0</v>
      </c>
      <c r="AC14" s="7">
        <v>0.0</v>
      </c>
      <c r="AD14" s="7">
        <v>0.0</v>
      </c>
      <c r="AE14" s="7">
        <v>0.2</v>
      </c>
      <c r="AF14" s="7">
        <v>0.0</v>
      </c>
      <c r="AG14" s="7">
        <v>0.4</v>
      </c>
      <c r="AH14" s="18">
        <v>7.0</v>
      </c>
      <c r="AI14" s="7">
        <v>0.7142857142857143</v>
      </c>
      <c r="AJ14" s="7">
        <v>0.2857142857142857</v>
      </c>
      <c r="AK14" s="7">
        <v>0.2857142857142857</v>
      </c>
      <c r="AL14" s="7">
        <v>0.2857142857142857</v>
      </c>
      <c r="AM14" s="7">
        <v>0.2857142857142857</v>
      </c>
      <c r="AN14" s="19">
        <v>1.5714285714285712</v>
      </c>
    </row>
    <row r="15" spans="1:40" s="4" customFormat="1" ht="16.5">
      <c r="A15" s="4"/>
      <c r="B15" s="2" t="s">
        <v>82</v>
      </c>
      <c r="C15" s="2" t="s">
        <v>83</v>
      </c>
      <c r="D15" s="2" t="s">
        <v>65</v>
      </c>
      <c r="E15" s="11">
        <v>12.0</v>
      </c>
      <c r="F15" s="6">
        <v>0.3333333333333333</v>
      </c>
      <c r="G15" s="6">
        <v>0.3333333333333333</v>
      </c>
      <c r="H15" s="6">
        <v>0.5833333333333334</v>
      </c>
      <c r="I15" s="6">
        <v>0.8333333333333334</v>
      </c>
      <c r="J15" s="6">
        <v>0.6666666666666666</v>
      </c>
      <c r="K15" s="6">
        <v>0.5</v>
      </c>
      <c r="L15" s="6">
        <v>0.6666666666666666</v>
      </c>
      <c r="M15" s="6">
        <v>0.75</v>
      </c>
      <c r="N15" s="21">
        <f>F15+G15+H15+I15+J15+K15+L15+M15</f>
        <v>4.666666666666666</v>
      </c>
      <c r="O15" s="6">
        <v>0.6666666666666666</v>
      </c>
      <c r="P15" s="6">
        <v>0.6666666666666666</v>
      </c>
      <c r="Q15" s="6">
        <v>0.6666666666666666</v>
      </c>
      <c r="R15" s="6">
        <v>0.0</v>
      </c>
      <c r="S15" s="6">
        <v>1.0</v>
      </c>
      <c r="T15" s="6">
        <v>0.5</v>
      </c>
      <c r="U15" s="6">
        <v>0.0</v>
      </c>
      <c r="V15" s="6">
        <v>1.0</v>
      </c>
      <c r="W15" s="6">
        <v>0.3333333333333333</v>
      </c>
      <c r="X15" s="23">
        <f>O15+P15+Q15+U15+V15+W15</f>
        <v>3.3333333333333335</v>
      </c>
      <c r="Y15" s="5">
        <v>1.0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7">
        <v>0.0</v>
      </c>
      <c r="AF15" s="7">
        <v>1.0</v>
      </c>
      <c r="AG15" s="7">
        <v>1.0</v>
      </c>
      <c r="AH15" s="18">
        <v>3.0</v>
      </c>
      <c r="AI15" s="7">
        <v>0.6666666666666666</v>
      </c>
      <c r="AJ15" s="7">
        <v>0.3333333333333333</v>
      </c>
      <c r="AK15" s="7">
        <v>0.6666666666666666</v>
      </c>
      <c r="AL15" s="7">
        <v>0.6666666666666666</v>
      </c>
      <c r="AM15" s="7">
        <v>0.3333333333333333</v>
      </c>
      <c r="AN15" s="19">
        <v>1.9999999999999998</v>
      </c>
    </row>
    <row r="16" spans="1:40" ht="6" customHeight="1">
      <c r="A16" s="9"/>
      <c r="E16" s="12"/>
      <c r="M16" s="10"/>
      <c r="N16" s="22"/>
      <c r="X16" s="20"/>
      <c r="AN16" s="20"/>
    </row>
    <row r="17" spans="1:40" s="4" customFormat="1" ht="16.5">
      <c r="A17" s="4"/>
      <c r="B17" s="2" t="s">
        <v>66</v>
      </c>
      <c r="C17" s="2" t="s">
        <v>67</v>
      </c>
      <c r="D17" s="2" t="s">
        <v>67</v>
      </c>
      <c r="E17" s="11">
        <v>4.0</v>
      </c>
      <c r="F17" s="7">
        <v>0.5</v>
      </c>
      <c r="G17" s="7">
        <v>0.75</v>
      </c>
      <c r="H17" s="7">
        <v>0.75</v>
      </c>
      <c r="I17" s="7">
        <v>0.75</v>
      </c>
      <c r="J17" s="7">
        <v>0.75</v>
      </c>
      <c r="K17" s="7">
        <v>0.0</v>
      </c>
      <c r="L17" s="7">
        <v>0.75</v>
      </c>
      <c r="M17" s="7">
        <v>0.75</v>
      </c>
      <c r="N17" s="21">
        <f>F17+G17+H17+I17+J17+K17+L17+M17</f>
        <v>5.0</v>
      </c>
      <c r="O17" s="7">
        <v>0.75</v>
      </c>
      <c r="P17" s="7">
        <v>0.5</v>
      </c>
      <c r="Q17" s="7">
        <v>0.75</v>
      </c>
      <c r="R17" s="7">
        <v>0.3333333333333333</v>
      </c>
      <c r="S17" s="7">
        <v>0.6666666666666666</v>
      </c>
      <c r="T17" s="7">
        <v>0.0</v>
      </c>
      <c r="U17" s="7">
        <v>0.0</v>
      </c>
      <c r="V17" s="7">
        <v>0.0</v>
      </c>
      <c r="W17" s="7">
        <v>0.0</v>
      </c>
      <c r="X17" s="23">
        <f>O17+P17+Q17+U17+V17+W17</f>
        <v>2.0</v>
      </c>
      <c r="Y17" s="5">
        <v>2.0</v>
      </c>
      <c r="Z17" s="7">
        <v>0.5</v>
      </c>
      <c r="AA17" s="7">
        <v>0.0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7">
        <v>0.5</v>
      </c>
      <c r="AH17" s="18"/>
      <c r="AI17" s="7"/>
      <c r="AJ17" s="7"/>
      <c r="AK17" s="7"/>
      <c r="AL17" s="7"/>
      <c r="AM17" s="7"/>
      <c r="AN17" s="19">
        <v>0.0</v>
      </c>
    </row>
    <row r="18" spans="1:40" s="4" customFormat="1" ht="16.5">
      <c r="A18" s="4"/>
      <c r="B18" s="2"/>
      <c r="C18" s="2"/>
      <c r="D18" s="2" t="s">
        <v>30</v>
      </c>
      <c r="E18" s="11">
        <v>6.0</v>
      </c>
      <c r="F18" s="7">
        <v>1.0</v>
      </c>
      <c r="G18" s="7">
        <v>1.0</v>
      </c>
      <c r="H18" s="7">
        <v>1.0</v>
      </c>
      <c r="I18" s="7">
        <v>1.0</v>
      </c>
      <c r="J18" s="7">
        <v>1.0</v>
      </c>
      <c r="K18" s="7">
        <v>0.16666666666666666</v>
      </c>
      <c r="L18" s="7">
        <v>1.0</v>
      </c>
      <c r="M18" s="7">
        <v>0.8333333333333334</v>
      </c>
      <c r="N18" s="21">
        <f>F18+G18+H18+I18+J18+K18+L18+M18</f>
        <v>7.0</v>
      </c>
      <c r="O18" s="7">
        <v>0.8571428571428571</v>
      </c>
      <c r="P18" s="7">
        <v>0.5714285714285714</v>
      </c>
      <c r="Q18" s="7">
        <v>0.8571428571428571</v>
      </c>
      <c r="R18" s="7">
        <v>0.8333333333333334</v>
      </c>
      <c r="S18" s="7">
        <v>0.0</v>
      </c>
      <c r="T18" s="7">
        <v>0.16666666666666666</v>
      </c>
      <c r="U18" s="7">
        <v>0.0</v>
      </c>
      <c r="V18" s="7">
        <v>0.5714285714285714</v>
      </c>
      <c r="W18" s="7">
        <v>0.0</v>
      </c>
      <c r="X18" s="23">
        <f>O18+P18+Q18+U18+V18+W18</f>
        <v>2.8571428571428568</v>
      </c>
      <c r="Y18" s="5">
        <v>0.0</v>
      </c>
      <c r="Z18" s="7"/>
      <c r="AA18" s="7"/>
      <c r="AB18" s="7"/>
      <c r="AC18" s="7"/>
      <c r="AD18" s="7"/>
      <c r="AE18" s="7"/>
      <c r="AF18" s="7"/>
      <c r="AG18" s="7"/>
      <c r="AH18" s="18"/>
      <c r="AI18" s="7"/>
      <c r="AJ18" s="7"/>
      <c r="AK18" s="7"/>
      <c r="AL18" s="7"/>
      <c r="AM18" s="7"/>
      <c r="AN18" s="19">
        <v>0.0</v>
      </c>
    </row>
    <row r="19" spans="1:40" s="4" customFormat="1" ht="16.5">
      <c r="A19" s="4"/>
      <c r="B19" s="2"/>
      <c r="C19" s="2"/>
      <c r="D19" s="2" t="s">
        <v>35</v>
      </c>
      <c r="E19" s="11">
        <v>10.0</v>
      </c>
      <c r="F19" s="7">
        <v>0.7</v>
      </c>
      <c r="G19" s="7">
        <v>0.1</v>
      </c>
      <c r="H19" s="7">
        <v>0.7</v>
      </c>
      <c r="I19" s="7">
        <v>0.7</v>
      </c>
      <c r="J19" s="7">
        <v>0.7</v>
      </c>
      <c r="K19" s="7">
        <v>0.4</v>
      </c>
      <c r="L19" s="7">
        <v>0.7</v>
      </c>
      <c r="M19" s="7">
        <v>0.7</v>
      </c>
      <c r="N19" s="21">
        <f>F19+G19+H19+I19+J19+K19+L19+M19</f>
        <v>4.7</v>
      </c>
      <c r="O19" s="7">
        <v>0.6363636363636364</v>
      </c>
      <c r="P19" s="7">
        <v>0.36363636363636365</v>
      </c>
      <c r="Q19" s="7">
        <v>0.6363636363636364</v>
      </c>
      <c r="R19" s="7">
        <v>0.14285714285714285</v>
      </c>
      <c r="S19" s="7">
        <v>0.8571428571428571</v>
      </c>
      <c r="T19" s="7">
        <v>0.0</v>
      </c>
      <c r="U19" s="7">
        <v>0.0</v>
      </c>
      <c r="V19" s="7">
        <v>0.09090909090909091</v>
      </c>
      <c r="W19" s="7">
        <v>0.09090909090909091</v>
      </c>
      <c r="X19" s="23">
        <f>O19+P19+Q19+U19+V19+W19</f>
        <v>1.818181818181818</v>
      </c>
      <c r="Y19" s="5">
        <v>0.0</v>
      </c>
      <c r="Z19" s="7"/>
      <c r="AA19" s="7"/>
      <c r="AB19" s="7"/>
      <c r="AC19" s="7"/>
      <c r="AD19" s="7"/>
      <c r="AE19" s="7"/>
      <c r="AF19" s="7"/>
      <c r="AG19" s="7"/>
      <c r="AH19" s="18">
        <v>1.0</v>
      </c>
      <c r="AI19" s="7">
        <v>1.0</v>
      </c>
      <c r="AJ19" s="7">
        <v>1.0</v>
      </c>
      <c r="AK19" s="7">
        <v>0.0</v>
      </c>
      <c r="AL19" s="7">
        <v>0.0</v>
      </c>
      <c r="AM19" s="7">
        <v>1.0</v>
      </c>
      <c r="AN19" s="19">
        <v>3.0</v>
      </c>
    </row>
    <row r="20" spans="1:40" s="4" customFormat="1" ht="16.5">
      <c r="A20" s="4"/>
      <c r="B20" s="2"/>
      <c r="C20" s="2"/>
      <c r="D20" s="2" t="s">
        <v>38</v>
      </c>
      <c r="E20" s="11">
        <v>0.0</v>
      </c>
      <c r="F20" s="7"/>
      <c r="G20" s="7"/>
      <c r="H20" s="7"/>
      <c r="I20" s="7"/>
      <c r="J20" s="7"/>
      <c r="K20" s="7"/>
      <c r="L20" s="7"/>
      <c r="M20" s="7"/>
      <c r="N20" s="21">
        <f>F20+G20+H20+I20+J20+K20+L20+M20</f>
        <v>0.0</v>
      </c>
      <c r="O20" s="7"/>
      <c r="P20" s="7"/>
      <c r="Q20" s="7"/>
      <c r="R20" s="7"/>
      <c r="S20" s="7"/>
      <c r="T20" s="7"/>
      <c r="U20" s="7"/>
      <c r="V20" s="7"/>
      <c r="W20" s="7"/>
      <c r="X20" s="23">
        <f>O20+P20+Q20+U20+V20+W20</f>
        <v>0.0</v>
      </c>
      <c r="Y20" s="5">
        <v>0.0</v>
      </c>
      <c r="Z20" s="7"/>
      <c r="AA20" s="7"/>
      <c r="AB20" s="7"/>
      <c r="AC20" s="7"/>
      <c r="AD20" s="7"/>
      <c r="AE20" s="7"/>
      <c r="AF20" s="7"/>
      <c r="AG20" s="7"/>
      <c r="AH20" s="18"/>
      <c r="AI20" s="7"/>
      <c r="AJ20" s="7"/>
      <c r="AK20" s="7"/>
      <c r="AL20" s="7"/>
      <c r="AM20" s="7"/>
      <c r="AN20" s="19">
        <v>0.0</v>
      </c>
    </row>
    <row r="21" spans="1:40" s="4" customFormat="1" ht="16.5">
      <c r="A21" s="4"/>
      <c r="B21" s="2"/>
      <c r="C21" s="2"/>
      <c r="D21" s="2" t="s">
        <v>84</v>
      </c>
      <c r="E21" s="11">
        <v>2.0</v>
      </c>
      <c r="F21" s="7">
        <v>1.0</v>
      </c>
      <c r="G21" s="7">
        <v>1.0</v>
      </c>
      <c r="H21" s="7">
        <v>1.0</v>
      </c>
      <c r="I21" s="7">
        <v>1.0</v>
      </c>
      <c r="J21" s="7">
        <v>1.0</v>
      </c>
      <c r="K21" s="7">
        <v>0.0</v>
      </c>
      <c r="L21" s="7">
        <v>1.0</v>
      </c>
      <c r="M21" s="7">
        <v>1.0</v>
      </c>
      <c r="N21" s="21">
        <f>F21+G21+H21+I21+J21+K21+L21+M21</f>
        <v>7.0</v>
      </c>
      <c r="O21" s="7">
        <v>1.0</v>
      </c>
      <c r="P21" s="7">
        <v>0.0</v>
      </c>
      <c r="Q21" s="7">
        <v>1.0</v>
      </c>
      <c r="R21" s="7">
        <v>1.0</v>
      </c>
      <c r="S21" s="7">
        <v>0.0</v>
      </c>
      <c r="T21" s="7">
        <v>0.0</v>
      </c>
      <c r="U21" s="7">
        <v>1.0</v>
      </c>
      <c r="V21" s="7">
        <v>1.0</v>
      </c>
      <c r="W21" s="7">
        <v>1.0</v>
      </c>
      <c r="X21" s="23">
        <f>O21+P21+Q21+U21+V21+W21</f>
        <v>5.0</v>
      </c>
      <c r="Y21" s="5">
        <v>0.0</v>
      </c>
      <c r="Z21" s="7"/>
      <c r="AA21" s="7"/>
      <c r="AB21" s="7"/>
      <c r="AC21" s="7"/>
      <c r="AD21" s="7"/>
      <c r="AE21" s="7"/>
      <c r="AF21" s="7"/>
      <c r="AG21" s="7"/>
      <c r="AH21" s="18"/>
      <c r="AI21" s="7"/>
      <c r="AJ21" s="7"/>
      <c r="AK21" s="7"/>
      <c r="AL21" s="7"/>
      <c r="AM21" s="7"/>
      <c r="AN21" s="19">
        <v>0.0</v>
      </c>
    </row>
    <row r="22" spans="1:40" s="4" customFormat="1" ht="16.5">
      <c r="A22" s="4"/>
      <c r="B22" s="2"/>
      <c r="C22" s="2"/>
      <c r="D22" s="2" t="s">
        <v>85</v>
      </c>
      <c r="E22" s="11">
        <v>6.0</v>
      </c>
      <c r="F22" s="7">
        <v>0.6666666666666666</v>
      </c>
      <c r="G22" s="7">
        <v>0.6666666666666666</v>
      </c>
      <c r="H22" s="7">
        <v>1.0</v>
      </c>
      <c r="I22" s="7">
        <v>0.8333333333333334</v>
      </c>
      <c r="J22" s="7">
        <v>0.6666666666666666</v>
      </c>
      <c r="K22" s="7">
        <v>0.5</v>
      </c>
      <c r="L22" s="7">
        <v>0.3333333333333333</v>
      </c>
      <c r="M22" s="7">
        <v>0.3333333333333333</v>
      </c>
      <c r="N22" s="21">
        <f>F22+G22+H22+I22+J22+K22+L22+M22</f>
        <v>4.999999999999999</v>
      </c>
      <c r="O22" s="7">
        <v>0.7142857142857143</v>
      </c>
      <c r="P22" s="7">
        <v>0.14285714285714285</v>
      </c>
      <c r="Q22" s="7">
        <v>0.8571428571428571</v>
      </c>
      <c r="R22" s="7">
        <v>0.16666666666666666</v>
      </c>
      <c r="S22" s="7">
        <v>0.8333333333333334</v>
      </c>
      <c r="T22" s="7">
        <v>0.0</v>
      </c>
      <c r="U22" s="7">
        <v>0.2857142857142857</v>
      </c>
      <c r="V22" s="7">
        <v>0.2857142857142857</v>
      </c>
      <c r="W22" s="7">
        <v>0.42857142857142855</v>
      </c>
      <c r="X22" s="23">
        <f>O22+P22+Q22+U22+V22+W22</f>
        <v>2.714285714285714</v>
      </c>
      <c r="Y22" s="5">
        <v>0.0</v>
      </c>
      <c r="Z22" s="7"/>
      <c r="AA22" s="7"/>
      <c r="AB22" s="7"/>
      <c r="AC22" s="7"/>
      <c r="AD22" s="7"/>
      <c r="AE22" s="7"/>
      <c r="AF22" s="7"/>
      <c r="AG22" s="7"/>
      <c r="AH22" s="18"/>
      <c r="AI22" s="7"/>
      <c r="AJ22" s="7"/>
      <c r="AK22" s="7"/>
      <c r="AL22" s="7"/>
      <c r="AM22" s="7"/>
      <c r="AN22" s="19">
        <v>0.0</v>
      </c>
    </row>
    <row r="23" spans="1:40" s="4" customFormat="1" ht="16.5">
      <c r="A23" s="4"/>
      <c r="B23" s="2" t="s">
        <v>68</v>
      </c>
      <c r="C23" s="2" t="s">
        <v>69</v>
      </c>
      <c r="D23" s="2" t="s">
        <v>86</v>
      </c>
      <c r="E23" s="11">
        <v>2.0</v>
      </c>
      <c r="F23" s="7">
        <v>1.0</v>
      </c>
      <c r="G23" s="7">
        <v>1.0</v>
      </c>
      <c r="H23" s="7">
        <v>1.0</v>
      </c>
      <c r="I23" s="7">
        <v>1.0</v>
      </c>
      <c r="J23" s="7">
        <v>1.0</v>
      </c>
      <c r="K23" s="7">
        <v>1.0</v>
      </c>
      <c r="L23" s="7">
        <v>1.0</v>
      </c>
      <c r="M23" s="7">
        <v>1.0</v>
      </c>
      <c r="N23" s="21">
        <f>F23+G23+H23+I23+J23+K23+L23+M23</f>
        <v>8.0</v>
      </c>
      <c r="O23" s="7">
        <v>0.4</v>
      </c>
      <c r="P23" s="7">
        <v>0.2</v>
      </c>
      <c r="Q23" s="7">
        <v>0.4</v>
      </c>
      <c r="R23" s="7">
        <v>1.0</v>
      </c>
      <c r="S23" s="7">
        <v>0.0</v>
      </c>
      <c r="T23" s="7">
        <v>0.0</v>
      </c>
      <c r="U23" s="7">
        <v>0.0</v>
      </c>
      <c r="V23" s="7">
        <v>0.4</v>
      </c>
      <c r="W23" s="7">
        <v>0.2</v>
      </c>
      <c r="X23" s="23">
        <f>O23+P23+Q23+U23+V23+W23</f>
        <v>1.5999999999999999</v>
      </c>
      <c r="Y23" s="5">
        <v>1.0</v>
      </c>
      <c r="Z23" s="7">
        <v>0.0</v>
      </c>
      <c r="AA23" s="7">
        <v>0.0</v>
      </c>
      <c r="AB23" s="7">
        <v>0.0</v>
      </c>
      <c r="AC23" s="7">
        <v>0.0</v>
      </c>
      <c r="AD23" s="7">
        <v>0.0</v>
      </c>
      <c r="AE23" s="7">
        <v>0.0</v>
      </c>
      <c r="AF23" s="7">
        <v>0.0</v>
      </c>
      <c r="AG23" s="7">
        <v>1.0</v>
      </c>
      <c r="AH23" s="18"/>
      <c r="AI23" s="7"/>
      <c r="AJ23" s="7"/>
      <c r="AK23" s="7"/>
      <c r="AL23" s="7"/>
      <c r="AM23" s="7"/>
      <c r="AN23" s="19">
        <v>0.0</v>
      </c>
    </row>
    <row r="24" spans="1:40" s="4" customFormat="1" ht="16.5">
      <c r="A24" s="4"/>
      <c r="B24" s="2"/>
      <c r="C24" s="2"/>
      <c r="D24" s="2" t="s">
        <v>87</v>
      </c>
      <c r="E24" s="11">
        <v>3.0</v>
      </c>
      <c r="F24" s="7">
        <v>0.6666666666666666</v>
      </c>
      <c r="G24" s="7">
        <v>0.6666666666666666</v>
      </c>
      <c r="H24" s="7">
        <v>1.0</v>
      </c>
      <c r="I24" s="7">
        <v>1.0</v>
      </c>
      <c r="J24" s="7">
        <v>1.0</v>
      </c>
      <c r="K24" s="7">
        <v>1.0</v>
      </c>
      <c r="L24" s="7">
        <v>1.0</v>
      </c>
      <c r="M24" s="7">
        <v>1.0</v>
      </c>
      <c r="N24" s="21">
        <f>F24+G24+H24+I24+J24+K24+L24+M24</f>
        <v>7.333333333333333</v>
      </c>
      <c r="O24" s="7"/>
      <c r="P24" s="7"/>
      <c r="Q24" s="7"/>
      <c r="R24" s="7"/>
      <c r="S24" s="7"/>
      <c r="T24" s="7"/>
      <c r="U24" s="7"/>
      <c r="V24" s="7"/>
      <c r="W24" s="7"/>
      <c r="X24" s="23">
        <f>O24+P24+Q24+U24+V24+W24</f>
        <v>0.0</v>
      </c>
      <c r="Y24" s="5">
        <v>1.0</v>
      </c>
      <c r="Z24" s="7">
        <v>1.0</v>
      </c>
      <c r="AA24" s="7">
        <v>0.0</v>
      </c>
      <c r="AB24" s="7">
        <v>0.0</v>
      </c>
      <c r="AC24" s="7">
        <v>0.0</v>
      </c>
      <c r="AD24" s="7">
        <v>0.0</v>
      </c>
      <c r="AE24" s="7">
        <v>0.0</v>
      </c>
      <c r="AF24" s="7">
        <v>0.0</v>
      </c>
      <c r="AG24" s="7">
        <v>0.0</v>
      </c>
      <c r="AH24" s="18">
        <v>1.0</v>
      </c>
      <c r="AI24" s="7">
        <v>1.0</v>
      </c>
      <c r="AJ24" s="7">
        <v>1.0</v>
      </c>
      <c r="AK24" s="7">
        <v>0.0</v>
      </c>
      <c r="AL24" s="7">
        <v>1.0</v>
      </c>
      <c r="AM24" s="7">
        <v>0.0</v>
      </c>
      <c r="AN24" s="19">
        <v>3.0</v>
      </c>
    </row>
    <row r="25" spans="1:40" s="4" customFormat="1" ht="16.5">
      <c r="A25" s="4"/>
      <c r="B25" s="2"/>
      <c r="C25" s="2"/>
      <c r="D25" s="2" t="s">
        <v>88</v>
      </c>
      <c r="E25" s="11">
        <v>7.0</v>
      </c>
      <c r="F25" s="7">
        <v>0.0</v>
      </c>
      <c r="G25" s="7">
        <v>0.0</v>
      </c>
      <c r="H25" s="7">
        <v>1.0</v>
      </c>
      <c r="I25" s="7">
        <v>1.0</v>
      </c>
      <c r="J25" s="7">
        <v>1.0</v>
      </c>
      <c r="K25" s="7">
        <v>0.8571428571428571</v>
      </c>
      <c r="L25" s="7">
        <v>0.8571428571428571</v>
      </c>
      <c r="M25" s="7">
        <v>0.8571428571428571</v>
      </c>
      <c r="N25" s="21">
        <f>F25+G25+H25+I25+J25+K25+L25+M25</f>
        <v>5.571428571428571</v>
      </c>
      <c r="O25" s="7">
        <v>1.0</v>
      </c>
      <c r="P25" s="7">
        <v>1.0</v>
      </c>
      <c r="Q25" s="7">
        <v>1.0</v>
      </c>
      <c r="R25" s="7">
        <v>0.0</v>
      </c>
      <c r="S25" s="7">
        <v>1.0</v>
      </c>
      <c r="T25" s="7">
        <v>0.0</v>
      </c>
      <c r="U25" s="7">
        <v>0.0</v>
      </c>
      <c r="V25" s="7">
        <v>0.0</v>
      </c>
      <c r="W25" s="7">
        <v>0.0</v>
      </c>
      <c r="X25" s="23">
        <f>O25+P25+Q25+U25+V25+W25</f>
        <v>3.0</v>
      </c>
      <c r="Y25" s="5">
        <v>2.0</v>
      </c>
      <c r="Z25" s="7">
        <v>0.5</v>
      </c>
      <c r="AA25" s="7">
        <v>0.0</v>
      </c>
      <c r="AB25" s="7">
        <v>0.0</v>
      </c>
      <c r="AC25" s="7">
        <v>0.0</v>
      </c>
      <c r="AD25" s="7">
        <v>0.0</v>
      </c>
      <c r="AE25" s="7">
        <v>0.0</v>
      </c>
      <c r="AF25" s="7">
        <v>0.0</v>
      </c>
      <c r="AG25" s="7">
        <v>0.5</v>
      </c>
      <c r="AH25" s="18"/>
      <c r="AI25" s="7"/>
      <c r="AJ25" s="7"/>
      <c r="AK25" s="7"/>
      <c r="AL25" s="7"/>
      <c r="AM25" s="7"/>
      <c r="AN25" s="19">
        <v>0.0</v>
      </c>
    </row>
    <row r="26" spans="1:40" s="4" customFormat="1" ht="16.5">
      <c r="A26" s="4"/>
      <c r="B26" s="2"/>
      <c r="C26" s="2"/>
      <c r="D26" s="2" t="s">
        <v>89</v>
      </c>
      <c r="E26" s="11">
        <v>5.0</v>
      </c>
      <c r="F26" s="7">
        <v>0.8</v>
      </c>
      <c r="G26" s="7">
        <v>0.0</v>
      </c>
      <c r="H26" s="7">
        <v>1.0</v>
      </c>
      <c r="I26" s="7">
        <v>0.8</v>
      </c>
      <c r="J26" s="7">
        <v>0.8</v>
      </c>
      <c r="K26" s="7">
        <v>0.8</v>
      </c>
      <c r="L26" s="7">
        <v>0.8</v>
      </c>
      <c r="M26" s="7">
        <v>0.8</v>
      </c>
      <c r="N26" s="21">
        <f>F26+G26+H26+I26+J26+K26+L26+M26</f>
        <v>5.8</v>
      </c>
      <c r="O26" s="7"/>
      <c r="P26" s="7"/>
      <c r="Q26" s="7"/>
      <c r="R26" s="7"/>
      <c r="S26" s="7"/>
      <c r="T26" s="7"/>
      <c r="U26" s="7"/>
      <c r="V26" s="7"/>
      <c r="W26" s="7"/>
      <c r="X26" s="23">
        <f>O26+P26+Q26+U26+V26+W26</f>
        <v>0.0</v>
      </c>
      <c r="Y26" s="5">
        <v>0.0</v>
      </c>
      <c r="Z26" s="7"/>
      <c r="AA26" s="7"/>
      <c r="AB26" s="7"/>
      <c r="AC26" s="7"/>
      <c r="AD26" s="7"/>
      <c r="AE26" s="7"/>
      <c r="AF26" s="7"/>
      <c r="AG26" s="7"/>
      <c r="AH26" s="18">
        <v>1.0</v>
      </c>
      <c r="AI26" s="7">
        <v>0.0</v>
      </c>
      <c r="AJ26" s="7">
        <v>0.0</v>
      </c>
      <c r="AK26" s="7">
        <v>0.0</v>
      </c>
      <c r="AL26" s="7">
        <v>1.0</v>
      </c>
      <c r="AM26" s="7">
        <v>0.0</v>
      </c>
      <c r="AN26" s="19">
        <v>1.0</v>
      </c>
    </row>
    <row r="27" spans="1:40" s="4" customFormat="1" ht="16.5">
      <c r="A27" s="4"/>
      <c r="B27" s="2"/>
      <c r="C27" s="2"/>
      <c r="D27" s="2" t="s">
        <v>90</v>
      </c>
      <c r="E27" s="11">
        <v>0.0</v>
      </c>
      <c r="F27" s="7"/>
      <c r="G27" s="7"/>
      <c r="H27" s="7"/>
      <c r="I27" s="7"/>
      <c r="J27" s="7"/>
      <c r="K27" s="7"/>
      <c r="L27" s="7"/>
      <c r="M27" s="7"/>
      <c r="N27" s="21">
        <f>F27+G27+H27+I27+J27+K27+L27+M27</f>
        <v>0.0</v>
      </c>
      <c r="O27" s="7">
        <v>0.0</v>
      </c>
      <c r="P27" s="7">
        <v>0.0</v>
      </c>
      <c r="Q27" s="7">
        <v>0.0</v>
      </c>
      <c r="R27" s="7"/>
      <c r="S27" s="7"/>
      <c r="T27" s="7"/>
      <c r="U27" s="7">
        <v>0.0</v>
      </c>
      <c r="V27" s="7">
        <v>0.0</v>
      </c>
      <c r="W27" s="7">
        <v>0.0</v>
      </c>
      <c r="X27" s="23">
        <f>O27+P27+Q27+U27+V27+W27</f>
        <v>0.0</v>
      </c>
      <c r="Y27" s="5">
        <v>0.0</v>
      </c>
      <c r="Z27" s="7"/>
      <c r="AA27" s="7"/>
      <c r="AB27" s="7"/>
      <c r="AC27" s="7"/>
      <c r="AD27" s="7"/>
      <c r="AE27" s="7"/>
      <c r="AF27" s="7"/>
      <c r="AG27" s="7"/>
      <c r="AH27" s="18">
        <v>1.0</v>
      </c>
      <c r="AI27" s="7">
        <v>0.0</v>
      </c>
      <c r="AJ27" s="7">
        <v>0.0</v>
      </c>
      <c r="AK27" s="7">
        <v>0.0</v>
      </c>
      <c r="AL27" s="7">
        <v>1.0</v>
      </c>
      <c r="AM27" s="7">
        <v>1.0</v>
      </c>
      <c r="AN27" s="19">
        <v>2.0</v>
      </c>
    </row>
    <row r="28" spans="1:40" s="4" customFormat="1" ht="16.5">
      <c r="A28" s="4"/>
      <c r="B28" s="2"/>
      <c r="C28" s="2"/>
      <c r="D28" s="2" t="s">
        <v>91</v>
      </c>
      <c r="E28" s="11">
        <v>2.0</v>
      </c>
      <c r="F28" s="7">
        <v>0.5</v>
      </c>
      <c r="G28" s="7">
        <v>1.0</v>
      </c>
      <c r="H28" s="7">
        <v>1.0</v>
      </c>
      <c r="I28" s="7">
        <v>1.0</v>
      </c>
      <c r="J28" s="7">
        <v>1.0</v>
      </c>
      <c r="K28" s="7">
        <v>1.0</v>
      </c>
      <c r="L28" s="7">
        <v>1.0</v>
      </c>
      <c r="M28" s="7">
        <v>1.0</v>
      </c>
      <c r="N28" s="21">
        <f>F28+G28+H28+I28+J28+K28+L28+M28</f>
        <v>7.5</v>
      </c>
      <c r="O28" s="7">
        <v>1.0</v>
      </c>
      <c r="P28" s="7">
        <v>0.5</v>
      </c>
      <c r="Q28" s="7">
        <v>0.5</v>
      </c>
      <c r="R28" s="7">
        <v>0.0</v>
      </c>
      <c r="S28" s="7">
        <v>1.0</v>
      </c>
      <c r="T28" s="7">
        <v>0.0</v>
      </c>
      <c r="U28" s="7">
        <v>0.5</v>
      </c>
      <c r="V28" s="7">
        <v>0.5</v>
      </c>
      <c r="W28" s="7">
        <v>0.5</v>
      </c>
      <c r="X28" s="23">
        <f>O28+P28+Q28+U28+V28+W28</f>
        <v>3.5</v>
      </c>
      <c r="Y28" s="5">
        <v>0.0</v>
      </c>
      <c r="Z28" s="7"/>
      <c r="AA28" s="7"/>
      <c r="AB28" s="7"/>
      <c r="AC28" s="7"/>
      <c r="AD28" s="7"/>
      <c r="AE28" s="7"/>
      <c r="AF28" s="7"/>
      <c r="AG28" s="7"/>
      <c r="AH28" s="18">
        <v>1.0</v>
      </c>
      <c r="AI28" s="7">
        <v>1.0</v>
      </c>
      <c r="AJ28" s="7">
        <v>1.0</v>
      </c>
      <c r="AK28" s="7">
        <v>0.0</v>
      </c>
      <c r="AL28" s="7">
        <v>1.0</v>
      </c>
      <c r="AM28" s="7">
        <v>1.0</v>
      </c>
      <c r="AN28" s="19">
        <v>4.0</v>
      </c>
    </row>
    <row r="29" spans="1:40" s="4" customFormat="1" ht="16.5">
      <c r="A29" s="4"/>
      <c r="B29" s="2"/>
      <c r="C29" s="2"/>
      <c r="D29" s="2" t="s">
        <v>92</v>
      </c>
      <c r="E29" s="11">
        <v>3.0</v>
      </c>
      <c r="F29" s="7">
        <v>0.6666666666666666</v>
      </c>
      <c r="G29" s="7">
        <v>0.6666666666666666</v>
      </c>
      <c r="H29" s="7">
        <v>1.0</v>
      </c>
      <c r="I29" s="7">
        <v>0.6666666666666666</v>
      </c>
      <c r="J29" s="7">
        <v>0.3333333333333333</v>
      </c>
      <c r="K29" s="7">
        <v>1.0</v>
      </c>
      <c r="L29" s="7">
        <v>0.6666666666666666</v>
      </c>
      <c r="M29" s="7">
        <v>0.6666666666666666</v>
      </c>
      <c r="N29" s="21">
        <f>F29+G29+H29+I29+J29+K29+L29+M29</f>
        <v>5.666666666666667</v>
      </c>
      <c r="O29" s="7">
        <v>0.0</v>
      </c>
      <c r="P29" s="7">
        <v>0.0</v>
      </c>
      <c r="Q29" s="7">
        <v>0.0</v>
      </c>
      <c r="R29" s="7"/>
      <c r="S29" s="7"/>
      <c r="T29" s="7"/>
      <c r="U29" s="7">
        <v>0.0</v>
      </c>
      <c r="V29" s="7">
        <v>0.0</v>
      </c>
      <c r="W29" s="7">
        <v>0.0</v>
      </c>
      <c r="X29" s="23">
        <f>O29+P29+Q29+U29+V29+W29</f>
        <v>0.0</v>
      </c>
      <c r="Y29" s="5">
        <v>1.0</v>
      </c>
      <c r="Z29" s="7">
        <v>0.0</v>
      </c>
      <c r="AA29" s="7">
        <v>0.0</v>
      </c>
      <c r="AB29" s="7">
        <v>0.0</v>
      </c>
      <c r="AC29" s="7">
        <v>0.0</v>
      </c>
      <c r="AD29" s="7">
        <v>0.0</v>
      </c>
      <c r="AE29" s="7">
        <v>0.0</v>
      </c>
      <c r="AF29" s="7">
        <v>0.0</v>
      </c>
      <c r="AG29" s="7">
        <v>1.0</v>
      </c>
      <c r="AH29" s="18">
        <v>2.0</v>
      </c>
      <c r="AI29" s="7">
        <v>0.5</v>
      </c>
      <c r="AJ29" s="7">
        <v>0.5</v>
      </c>
      <c r="AK29" s="7">
        <v>0.0</v>
      </c>
      <c r="AL29" s="7">
        <v>0.5</v>
      </c>
      <c r="AM29" s="7">
        <v>0.5</v>
      </c>
      <c r="AN29" s="19">
        <v>2.0</v>
      </c>
    </row>
    <row r="30" spans="1:40" s="4" customFormat="1" ht="16.5">
      <c r="A30" s="4"/>
      <c r="B30" s="2"/>
      <c r="C30" s="2"/>
      <c r="D30" s="2" t="s">
        <v>93</v>
      </c>
      <c r="E30" s="11">
        <v>0.0</v>
      </c>
      <c r="F30" s="7"/>
      <c r="G30" s="7"/>
      <c r="H30" s="7"/>
      <c r="I30" s="7"/>
      <c r="J30" s="7"/>
      <c r="K30" s="7"/>
      <c r="L30" s="7"/>
      <c r="M30" s="7"/>
      <c r="N30" s="21">
        <f>F30+G30+H30+I30+J30+K30+L30+M30</f>
        <v>0.0</v>
      </c>
      <c r="O30" s="7"/>
      <c r="P30" s="7"/>
      <c r="Q30" s="7"/>
      <c r="R30" s="7"/>
      <c r="S30" s="7"/>
      <c r="T30" s="7"/>
      <c r="U30" s="7"/>
      <c r="V30" s="7"/>
      <c r="W30" s="7"/>
      <c r="X30" s="23">
        <f>O30+P30+Q30+U30+V30+W30</f>
        <v>0.0</v>
      </c>
      <c r="Y30" s="5">
        <v>2.0</v>
      </c>
      <c r="Z30" s="7">
        <v>0.5</v>
      </c>
      <c r="AA30" s="7">
        <v>0.5</v>
      </c>
      <c r="AB30" s="7">
        <v>0.0</v>
      </c>
      <c r="AC30" s="7">
        <v>0.0</v>
      </c>
      <c r="AD30" s="7">
        <v>0.0</v>
      </c>
      <c r="AE30" s="7">
        <v>0.0</v>
      </c>
      <c r="AF30" s="7">
        <v>0.0</v>
      </c>
      <c r="AG30" s="7">
        <v>0.0</v>
      </c>
      <c r="AH30" s="18">
        <v>1.0</v>
      </c>
      <c r="AI30" s="7">
        <v>1.0</v>
      </c>
      <c r="AJ30" s="7">
        <v>1.0</v>
      </c>
      <c r="AK30" s="7">
        <v>1.0</v>
      </c>
      <c r="AL30" s="7">
        <v>1.0</v>
      </c>
      <c r="AM30" s="7">
        <v>0.0</v>
      </c>
      <c r="AN30" s="19">
        <v>3.0</v>
      </c>
    </row>
    <row r="31" spans="1:40" s="4" customFormat="1" ht="16.5">
      <c r="A31" s="4"/>
      <c r="B31" s="2"/>
      <c r="C31" s="2"/>
      <c r="D31" s="2" t="s">
        <v>94</v>
      </c>
      <c r="E31" s="11">
        <v>1.0</v>
      </c>
      <c r="F31" s="7">
        <v>1.0</v>
      </c>
      <c r="G31" s="7">
        <v>0.0</v>
      </c>
      <c r="H31" s="7">
        <v>1.0</v>
      </c>
      <c r="I31" s="7">
        <v>1.0</v>
      </c>
      <c r="J31" s="7">
        <v>1.0</v>
      </c>
      <c r="K31" s="7">
        <v>1.0</v>
      </c>
      <c r="L31" s="7">
        <v>1.0</v>
      </c>
      <c r="M31" s="7">
        <v>1.0</v>
      </c>
      <c r="N31" s="21">
        <f>F31+G31+H31+I31+J31+K31+L31+M31</f>
        <v>7.0</v>
      </c>
      <c r="O31" s="7"/>
      <c r="P31" s="7"/>
      <c r="Q31" s="7"/>
      <c r="R31" s="7"/>
      <c r="S31" s="7"/>
      <c r="T31" s="7"/>
      <c r="U31" s="7"/>
      <c r="V31" s="7"/>
      <c r="W31" s="7"/>
      <c r="X31" s="23">
        <f>O31+P31+Q31+U31+V31+W31</f>
        <v>0.0</v>
      </c>
      <c r="Y31" s="5">
        <v>0.0</v>
      </c>
      <c r="Z31" s="7"/>
      <c r="AA31" s="7"/>
      <c r="AB31" s="7"/>
      <c r="AC31" s="7"/>
      <c r="AD31" s="7"/>
      <c r="AE31" s="7"/>
      <c r="AF31" s="7"/>
      <c r="AG31" s="7"/>
      <c r="AH31" s="18"/>
      <c r="AI31" s="7"/>
      <c r="AJ31" s="7"/>
      <c r="AK31" s="7"/>
      <c r="AL31" s="7"/>
      <c r="AM31" s="7"/>
      <c r="AN31" s="19">
        <v>0.0</v>
      </c>
    </row>
    <row r="32" spans="1:40" s="4" customFormat="1" ht="16.5">
      <c r="A32" s="4"/>
      <c r="B32" s="2"/>
      <c r="C32" s="2"/>
      <c r="D32" s="2" t="s">
        <v>95</v>
      </c>
      <c r="E32" s="11">
        <v>2.0</v>
      </c>
      <c r="F32" s="7">
        <v>0.0</v>
      </c>
      <c r="G32" s="7">
        <v>0.0</v>
      </c>
      <c r="H32" s="7">
        <v>1.0</v>
      </c>
      <c r="I32" s="7">
        <v>1.0</v>
      </c>
      <c r="J32" s="7">
        <v>1.0</v>
      </c>
      <c r="K32" s="7">
        <v>1.0</v>
      </c>
      <c r="L32" s="7">
        <v>1.0</v>
      </c>
      <c r="M32" s="7">
        <v>1.0</v>
      </c>
      <c r="N32" s="21">
        <f>F32+G32+H32+I32+J32+K32+L32+M32</f>
        <v>6.0</v>
      </c>
      <c r="O32" s="7"/>
      <c r="P32" s="7"/>
      <c r="Q32" s="7"/>
      <c r="R32" s="7"/>
      <c r="S32" s="7"/>
      <c r="T32" s="7"/>
      <c r="U32" s="7"/>
      <c r="V32" s="7"/>
      <c r="W32" s="7"/>
      <c r="X32" s="23">
        <f>O32+P32+Q32+U32+V32+W32</f>
        <v>0.0</v>
      </c>
      <c r="Y32" s="5">
        <v>0.0</v>
      </c>
      <c r="Z32" s="7"/>
      <c r="AA32" s="7"/>
      <c r="AB32" s="7"/>
      <c r="AC32" s="7"/>
      <c r="AD32" s="7"/>
      <c r="AE32" s="7"/>
      <c r="AF32" s="7"/>
      <c r="AG32" s="7"/>
      <c r="AH32" s="18"/>
      <c r="AI32" s="7"/>
      <c r="AJ32" s="7"/>
      <c r="AK32" s="7"/>
      <c r="AL32" s="7"/>
      <c r="AM32" s="7"/>
      <c r="AN32" s="19">
        <v>0.0</v>
      </c>
    </row>
    <row r="33" spans="1:40" s="4" customFormat="1" ht="16.5">
      <c r="A33" s="4"/>
      <c r="B33" s="2"/>
      <c r="C33" s="2"/>
      <c r="D33" s="2" t="s">
        <v>96</v>
      </c>
      <c r="E33" s="11">
        <v>2.0</v>
      </c>
      <c r="F33" s="7">
        <v>0.0</v>
      </c>
      <c r="G33" s="7">
        <v>0.0</v>
      </c>
      <c r="H33" s="7">
        <v>1.0</v>
      </c>
      <c r="I33" s="7">
        <v>0.5</v>
      </c>
      <c r="J33" s="7">
        <v>0.5</v>
      </c>
      <c r="K33" s="7">
        <v>0.5</v>
      </c>
      <c r="L33" s="7">
        <v>0.5</v>
      </c>
      <c r="M33" s="7">
        <v>0.5</v>
      </c>
      <c r="N33" s="21">
        <f>F33+G33+H33+I33+J33+K33+L33+M33</f>
        <v>3.5</v>
      </c>
      <c r="O33" s="7"/>
      <c r="P33" s="7"/>
      <c r="Q33" s="7"/>
      <c r="R33" s="7"/>
      <c r="S33" s="7"/>
      <c r="T33" s="7"/>
      <c r="U33" s="7"/>
      <c r="V33" s="7"/>
      <c r="W33" s="7"/>
      <c r="X33" s="23">
        <f>O33+P33+Q33+U33+V33+W33</f>
        <v>0.0</v>
      </c>
      <c r="Y33" s="5">
        <v>1.0</v>
      </c>
      <c r="Z33" s="7">
        <v>0.0</v>
      </c>
      <c r="AA33" s="7">
        <v>0.0</v>
      </c>
      <c r="AB33" s="7">
        <v>0.0</v>
      </c>
      <c r="AC33" s="7">
        <v>0.0</v>
      </c>
      <c r="AD33" s="7">
        <v>0.0</v>
      </c>
      <c r="AE33" s="7">
        <v>0.0</v>
      </c>
      <c r="AF33" s="7">
        <v>0.0</v>
      </c>
      <c r="AG33" s="7">
        <v>1.0</v>
      </c>
      <c r="AH33" s="18"/>
      <c r="AI33" s="7"/>
      <c r="AJ33" s="7"/>
      <c r="AK33" s="7"/>
      <c r="AL33" s="7"/>
      <c r="AM33" s="7"/>
      <c r="AN33" s="19">
        <v>0.0</v>
      </c>
    </row>
    <row r="34" spans="1:40" s="4" customFormat="1" ht="16.5">
      <c r="A34" s="4"/>
      <c r="B34" s="2"/>
      <c r="C34" s="2"/>
      <c r="D34" s="2" t="s">
        <v>97</v>
      </c>
      <c r="E34" s="11">
        <v>0.0</v>
      </c>
      <c r="F34" s="7"/>
      <c r="G34" s="7"/>
      <c r="H34" s="7"/>
      <c r="I34" s="7"/>
      <c r="J34" s="7"/>
      <c r="K34" s="7"/>
      <c r="L34" s="7"/>
      <c r="M34" s="7"/>
      <c r="N34" s="21">
        <f>F34+G34+H34+I34+J34+K34+L34+M34</f>
        <v>0.0</v>
      </c>
      <c r="O34" s="7"/>
      <c r="P34" s="7"/>
      <c r="Q34" s="7"/>
      <c r="R34" s="7"/>
      <c r="S34" s="7"/>
      <c r="T34" s="7"/>
      <c r="U34" s="7"/>
      <c r="V34" s="7"/>
      <c r="W34" s="7"/>
      <c r="X34" s="23">
        <f>O34+P34+Q34+U34+V34+W34</f>
        <v>0.0</v>
      </c>
      <c r="Y34" s="5">
        <v>0.0</v>
      </c>
      <c r="Z34" s="7"/>
      <c r="AA34" s="7"/>
      <c r="AB34" s="7"/>
      <c r="AC34" s="7"/>
      <c r="AD34" s="7"/>
      <c r="AE34" s="7"/>
      <c r="AF34" s="7"/>
      <c r="AG34" s="7"/>
      <c r="AH34" s="18">
        <v>1.0</v>
      </c>
      <c r="AI34" s="7">
        <v>0.0</v>
      </c>
      <c r="AJ34" s="7">
        <v>0.0</v>
      </c>
      <c r="AK34" s="7">
        <v>0.0</v>
      </c>
      <c r="AL34" s="7">
        <v>0.0</v>
      </c>
      <c r="AM34" s="7">
        <v>0.0</v>
      </c>
      <c r="AN34" s="19">
        <v>0.0</v>
      </c>
    </row>
    <row r="35" spans="1:40" s="4" customFormat="1" ht="16.5">
      <c r="A35" s="4"/>
      <c r="B35" s="2"/>
      <c r="C35" s="2"/>
      <c r="D35" s="2" t="s">
        <v>98</v>
      </c>
      <c r="E35" s="11">
        <v>1.0</v>
      </c>
      <c r="F35" s="7">
        <v>1.0</v>
      </c>
      <c r="G35" s="7">
        <v>1.0</v>
      </c>
      <c r="H35" s="7">
        <v>1.0</v>
      </c>
      <c r="I35" s="7">
        <v>1.0</v>
      </c>
      <c r="J35" s="7">
        <v>1.0</v>
      </c>
      <c r="K35" s="7">
        <v>1.0</v>
      </c>
      <c r="L35" s="7">
        <v>0.0</v>
      </c>
      <c r="M35" s="7">
        <v>0.0</v>
      </c>
      <c r="N35" s="21">
        <f>F35+G35+H35+I35+J35+K35+L35+M35</f>
        <v>6.0</v>
      </c>
      <c r="O35" s="7">
        <v>1.0</v>
      </c>
      <c r="P35" s="7">
        <v>0.0</v>
      </c>
      <c r="Q35" s="7">
        <v>1.0</v>
      </c>
      <c r="R35" s="7">
        <v>0.0</v>
      </c>
      <c r="S35" s="7">
        <v>1.0</v>
      </c>
      <c r="T35" s="7">
        <v>0.0</v>
      </c>
      <c r="U35" s="7">
        <v>0.0</v>
      </c>
      <c r="V35" s="7">
        <v>1.0</v>
      </c>
      <c r="W35" s="7">
        <v>0.0</v>
      </c>
      <c r="X35" s="23">
        <f>O35+P35+Q35+U35+V35+W35</f>
        <v>3.0</v>
      </c>
      <c r="Y35" s="5">
        <v>0.0</v>
      </c>
      <c r="Z35" s="7"/>
      <c r="AA35" s="7"/>
      <c r="AB35" s="7"/>
      <c r="AC35" s="7"/>
      <c r="AD35" s="7"/>
      <c r="AE35" s="7"/>
      <c r="AF35" s="7"/>
      <c r="AG35" s="7"/>
      <c r="AH35" s="18"/>
      <c r="AI35" s="7"/>
      <c r="AJ35" s="7"/>
      <c r="AK35" s="7"/>
      <c r="AL35" s="7"/>
      <c r="AM35" s="7"/>
      <c r="AN35" s="19">
        <v>0.0</v>
      </c>
    </row>
    <row r="36" spans="1:40" s="4" customFormat="1" ht="16.5">
      <c r="A36" s="4"/>
      <c r="B36" s="2"/>
      <c r="C36" s="2"/>
      <c r="D36" s="2" t="s">
        <v>99</v>
      </c>
      <c r="E36" s="11">
        <v>1.0</v>
      </c>
      <c r="F36" s="7">
        <v>0.0</v>
      </c>
      <c r="G36" s="7">
        <v>0.0</v>
      </c>
      <c r="H36" s="7">
        <v>0.0</v>
      </c>
      <c r="I36" s="7">
        <v>0.0</v>
      </c>
      <c r="J36" s="7">
        <v>0.0</v>
      </c>
      <c r="K36" s="7">
        <v>0.0</v>
      </c>
      <c r="L36" s="7">
        <v>0.0</v>
      </c>
      <c r="M36" s="7">
        <v>0.0</v>
      </c>
      <c r="N36" s="21">
        <f>F36+G36+H36+I36+J36+K36+L36+M36</f>
        <v>0.0</v>
      </c>
      <c r="O36" s="7">
        <v>1.0</v>
      </c>
      <c r="P36" s="7">
        <v>0.6666666666666666</v>
      </c>
      <c r="Q36" s="7">
        <v>0.6666666666666666</v>
      </c>
      <c r="R36" s="7">
        <v>1.0</v>
      </c>
      <c r="S36" s="7">
        <v>0.0</v>
      </c>
      <c r="T36" s="7">
        <v>0.0</v>
      </c>
      <c r="U36" s="7">
        <v>0.0</v>
      </c>
      <c r="V36" s="7">
        <v>0.3333333333333333</v>
      </c>
      <c r="W36" s="7">
        <v>0.0</v>
      </c>
      <c r="X36" s="23">
        <f>O36+P36+Q36+U36+V36+W36</f>
        <v>2.6666666666666665</v>
      </c>
      <c r="Y36" s="5">
        <v>0.0</v>
      </c>
      <c r="Z36" s="7"/>
      <c r="AA36" s="7"/>
      <c r="AB36" s="7"/>
      <c r="AC36" s="7"/>
      <c r="AD36" s="7"/>
      <c r="AE36" s="7"/>
      <c r="AF36" s="7"/>
      <c r="AG36" s="7"/>
      <c r="AH36" s="18"/>
      <c r="AI36" s="7"/>
      <c r="AJ36" s="7"/>
      <c r="AK36" s="7"/>
      <c r="AL36" s="7"/>
      <c r="AM36" s="7"/>
      <c r="AN36" s="19">
        <v>0.0</v>
      </c>
    </row>
    <row r="37" spans="1:40" s="4" customFormat="1" ht="16.5">
      <c r="A37" s="4"/>
      <c r="B37" s="2" t="s">
        <v>70</v>
      </c>
      <c r="C37" s="2" t="s">
        <v>71</v>
      </c>
      <c r="D37" s="2" t="s">
        <v>100</v>
      </c>
      <c r="E37" s="11">
        <v>0.0</v>
      </c>
      <c r="F37" s="7"/>
      <c r="G37" s="7"/>
      <c r="H37" s="7"/>
      <c r="I37" s="7"/>
      <c r="J37" s="7"/>
      <c r="K37" s="7"/>
      <c r="L37" s="7"/>
      <c r="M37" s="7"/>
      <c r="N37" s="21">
        <f>F37+G37+H37+I37+J37+K37+L37+M37</f>
        <v>0.0</v>
      </c>
      <c r="O37" s="7">
        <v>0.0</v>
      </c>
      <c r="P37" s="7">
        <v>0.0</v>
      </c>
      <c r="Q37" s="7">
        <v>0.0</v>
      </c>
      <c r="R37" s="7"/>
      <c r="S37" s="7"/>
      <c r="T37" s="7"/>
      <c r="U37" s="7">
        <v>0.0</v>
      </c>
      <c r="V37" s="7">
        <v>0.0</v>
      </c>
      <c r="W37" s="7">
        <v>0.0</v>
      </c>
      <c r="X37" s="23">
        <f>O37+P37+Q37+U37+V37+W37</f>
        <v>0.0</v>
      </c>
      <c r="Y37" s="5">
        <v>1.0</v>
      </c>
      <c r="Z37" s="7">
        <v>1.0</v>
      </c>
      <c r="AA37" s="7">
        <v>0.0</v>
      </c>
      <c r="AB37" s="7">
        <v>0.0</v>
      </c>
      <c r="AC37" s="7">
        <v>0.0</v>
      </c>
      <c r="AD37" s="7">
        <v>0.0</v>
      </c>
      <c r="AE37" s="7">
        <v>0.0</v>
      </c>
      <c r="AF37" s="7">
        <v>0.0</v>
      </c>
      <c r="AG37" s="7">
        <v>0.0</v>
      </c>
      <c r="AH37" s="18"/>
      <c r="AI37" s="7"/>
      <c r="AJ37" s="7"/>
      <c r="AK37" s="7"/>
      <c r="AL37" s="7"/>
      <c r="AM37" s="7"/>
      <c r="AN37" s="19">
        <v>0.0</v>
      </c>
    </row>
    <row r="38" spans="1:40" s="4" customFormat="1" ht="16.5">
      <c r="A38" s="4"/>
      <c r="B38" s="2"/>
      <c r="C38" s="2"/>
      <c r="D38" s="2" t="s">
        <v>101</v>
      </c>
      <c r="E38" s="11">
        <v>0.0</v>
      </c>
      <c r="F38" s="7"/>
      <c r="G38" s="7"/>
      <c r="H38" s="7"/>
      <c r="I38" s="7"/>
      <c r="J38" s="7"/>
      <c r="K38" s="7"/>
      <c r="L38" s="7"/>
      <c r="M38" s="7"/>
      <c r="N38" s="21">
        <f>F38+G38+H38+I38+J38+K38+L38+M38</f>
        <v>0.0</v>
      </c>
      <c r="O38" s="7"/>
      <c r="P38" s="7"/>
      <c r="Q38" s="7"/>
      <c r="R38" s="7"/>
      <c r="S38" s="7"/>
      <c r="T38" s="7"/>
      <c r="U38" s="7"/>
      <c r="V38" s="7"/>
      <c r="W38" s="7"/>
      <c r="X38" s="23">
        <f>O38+P38+Q38+U38+V38+W38</f>
        <v>0.0</v>
      </c>
      <c r="Y38" s="5">
        <v>0.0</v>
      </c>
      <c r="Z38" s="7"/>
      <c r="AA38" s="7"/>
      <c r="AB38" s="7"/>
      <c r="AC38" s="7"/>
      <c r="AD38" s="7"/>
      <c r="AE38" s="7"/>
      <c r="AF38" s="7"/>
      <c r="AG38" s="7"/>
      <c r="AH38" s="18"/>
      <c r="AI38" s="7"/>
      <c r="AJ38" s="7"/>
      <c r="AK38" s="7"/>
      <c r="AL38" s="7"/>
      <c r="AM38" s="7"/>
      <c r="AN38" s="19">
        <v>0.0</v>
      </c>
    </row>
    <row r="39" spans="1:40" s="4" customFormat="1" ht="16.5">
      <c r="A39" s="4"/>
      <c r="B39" s="2"/>
      <c r="C39" s="2"/>
      <c r="D39" s="2" t="s">
        <v>102</v>
      </c>
      <c r="E39" s="11">
        <v>1.0</v>
      </c>
      <c r="F39" s="7">
        <v>1.0</v>
      </c>
      <c r="G39" s="7">
        <v>1.0</v>
      </c>
      <c r="H39" s="7">
        <v>1.0</v>
      </c>
      <c r="I39" s="7">
        <v>1.0</v>
      </c>
      <c r="J39" s="7">
        <v>1.0</v>
      </c>
      <c r="K39" s="7">
        <v>1.0</v>
      </c>
      <c r="L39" s="7">
        <v>1.0</v>
      </c>
      <c r="M39" s="7">
        <v>1.0</v>
      </c>
      <c r="N39" s="21">
        <f>F39+G39+H39+I39+J39+K39+L39+M39</f>
        <v>8.0</v>
      </c>
      <c r="O39" s="7">
        <v>0.5</v>
      </c>
      <c r="P39" s="7">
        <v>0.0</v>
      </c>
      <c r="Q39" s="7">
        <v>0.5</v>
      </c>
      <c r="R39" s="7">
        <v>1.0</v>
      </c>
      <c r="S39" s="7">
        <v>0.0</v>
      </c>
      <c r="T39" s="7">
        <v>0.0</v>
      </c>
      <c r="U39" s="7">
        <v>0.0</v>
      </c>
      <c r="V39" s="7">
        <v>1.0</v>
      </c>
      <c r="W39" s="7">
        <v>0.0</v>
      </c>
      <c r="X39" s="23">
        <f>O39+P39+Q39+U39+V39+W39</f>
        <v>2.0</v>
      </c>
      <c r="Y39" s="5">
        <v>0.0</v>
      </c>
      <c r="Z39" s="7"/>
      <c r="AA39" s="7"/>
      <c r="AB39" s="7"/>
      <c r="AC39" s="7"/>
      <c r="AD39" s="7"/>
      <c r="AE39" s="7"/>
      <c r="AF39" s="7"/>
      <c r="AG39" s="7"/>
      <c r="AH39" s="18">
        <v>2.0</v>
      </c>
      <c r="AI39" s="7">
        <v>0.5</v>
      </c>
      <c r="AJ39" s="7">
        <v>0.5</v>
      </c>
      <c r="AK39" s="7">
        <v>0.0</v>
      </c>
      <c r="AL39" s="7">
        <v>0.5</v>
      </c>
      <c r="AM39" s="7">
        <v>0.5</v>
      </c>
      <c r="AN39" s="19">
        <v>2.0</v>
      </c>
    </row>
    <row r="40" spans="1:40" s="4" customFormat="1" ht="16.5">
      <c r="A40" s="4"/>
      <c r="B40" s="2"/>
      <c r="C40" s="2"/>
      <c r="D40" s="2" t="s">
        <v>103</v>
      </c>
      <c r="E40" s="11">
        <v>1.0</v>
      </c>
      <c r="F40" s="7">
        <v>1.0</v>
      </c>
      <c r="G40" s="7">
        <v>1.0</v>
      </c>
      <c r="H40" s="7">
        <v>1.0</v>
      </c>
      <c r="I40" s="7">
        <v>1.0</v>
      </c>
      <c r="J40" s="7">
        <v>1.0</v>
      </c>
      <c r="K40" s="7">
        <v>0.0</v>
      </c>
      <c r="L40" s="7">
        <v>1.0</v>
      </c>
      <c r="M40" s="7">
        <v>1.0</v>
      </c>
      <c r="N40" s="21">
        <f>F40+G40+H40+I40+J40+K40+L40+M40</f>
        <v>7.0</v>
      </c>
      <c r="O40" s="7">
        <v>0.0</v>
      </c>
      <c r="P40" s="7">
        <v>0.5</v>
      </c>
      <c r="Q40" s="7">
        <v>0.5</v>
      </c>
      <c r="R40" s="7">
        <v>1.0</v>
      </c>
      <c r="S40" s="7">
        <v>0.0</v>
      </c>
      <c r="T40" s="7">
        <v>0.0</v>
      </c>
      <c r="U40" s="7">
        <v>0.0</v>
      </c>
      <c r="V40" s="7">
        <v>0.0</v>
      </c>
      <c r="W40" s="7">
        <v>0.0</v>
      </c>
      <c r="X40" s="23">
        <f>O40+P40+Q40+U40+V40+W40</f>
        <v>1.0</v>
      </c>
      <c r="Y40" s="5">
        <v>0.0</v>
      </c>
      <c r="Z40" s="7"/>
      <c r="AA40" s="7"/>
      <c r="AB40" s="7"/>
      <c r="AC40" s="7"/>
      <c r="AD40" s="7"/>
      <c r="AE40" s="7"/>
      <c r="AF40" s="7"/>
      <c r="AG40" s="7"/>
      <c r="AH40" s="18"/>
      <c r="AI40" s="7"/>
      <c r="AJ40" s="7"/>
      <c r="AK40" s="7"/>
      <c r="AL40" s="7"/>
      <c r="AM40" s="7"/>
      <c r="AN40" s="19">
        <v>0.0</v>
      </c>
    </row>
    <row r="41" spans="1:40" s="4" customFormat="1" ht="16.5">
      <c r="A41" s="4"/>
      <c r="B41" s="2"/>
      <c r="C41" s="2"/>
      <c r="D41" s="2" t="s">
        <v>104</v>
      </c>
      <c r="E41" s="11">
        <v>0.0</v>
      </c>
      <c r="F41" s="7"/>
      <c r="G41" s="7"/>
      <c r="H41" s="7"/>
      <c r="I41" s="7"/>
      <c r="J41" s="7"/>
      <c r="K41" s="7"/>
      <c r="L41" s="7"/>
      <c r="M41" s="7"/>
      <c r="N41" s="21">
        <f>F41+G41+H41+I41+J41+K41+L41+M41</f>
        <v>0.0</v>
      </c>
      <c r="O41" s="7"/>
      <c r="P41" s="7"/>
      <c r="Q41" s="7"/>
      <c r="R41" s="7"/>
      <c r="S41" s="7"/>
      <c r="T41" s="7"/>
      <c r="U41" s="7"/>
      <c r="V41" s="7"/>
      <c r="W41" s="7"/>
      <c r="X41" s="23">
        <f>O41+P41+Q41+U41+V41+W41</f>
        <v>0.0</v>
      </c>
      <c r="Y41" s="5">
        <v>0.0</v>
      </c>
      <c r="Z41" s="7"/>
      <c r="AA41" s="7"/>
      <c r="AB41" s="7"/>
      <c r="AC41" s="7"/>
      <c r="AD41" s="7"/>
      <c r="AE41" s="7"/>
      <c r="AF41" s="7"/>
      <c r="AG41" s="7"/>
      <c r="AH41" s="18">
        <v>1.0</v>
      </c>
      <c r="AI41" s="7">
        <v>0.0</v>
      </c>
      <c r="AJ41" s="7">
        <v>0.0</v>
      </c>
      <c r="AK41" s="7">
        <v>0.0</v>
      </c>
      <c r="AL41" s="7">
        <v>1.0</v>
      </c>
      <c r="AM41" s="7">
        <v>0.0</v>
      </c>
      <c r="AN41" s="19">
        <v>1.0</v>
      </c>
    </row>
    <row r="42" spans="1:40" s="4" customFormat="1" ht="16.5">
      <c r="A42" s="4"/>
      <c r="B42" s="2"/>
      <c r="C42" s="2"/>
      <c r="D42" s="2" t="s">
        <v>105</v>
      </c>
      <c r="E42" s="11">
        <v>2.0</v>
      </c>
      <c r="F42" s="7">
        <v>1.0</v>
      </c>
      <c r="G42" s="7">
        <v>0.5</v>
      </c>
      <c r="H42" s="7">
        <v>1.0</v>
      </c>
      <c r="I42" s="7">
        <v>1.0</v>
      </c>
      <c r="J42" s="7">
        <v>1.0</v>
      </c>
      <c r="K42" s="7">
        <v>0.5</v>
      </c>
      <c r="L42" s="7">
        <v>0.0</v>
      </c>
      <c r="M42" s="7">
        <v>1.0</v>
      </c>
      <c r="N42" s="21">
        <f>F42+G42+H42+I42+J42+K42+L42+M42</f>
        <v>6.0</v>
      </c>
      <c r="O42" s="7">
        <v>1.0</v>
      </c>
      <c r="P42" s="7">
        <v>0.5</v>
      </c>
      <c r="Q42" s="7">
        <v>1.0</v>
      </c>
      <c r="R42" s="7">
        <v>0.5</v>
      </c>
      <c r="S42" s="7">
        <v>0.5</v>
      </c>
      <c r="T42" s="7">
        <v>0.0</v>
      </c>
      <c r="U42" s="7">
        <v>0.0</v>
      </c>
      <c r="V42" s="7">
        <v>0.5</v>
      </c>
      <c r="W42" s="7">
        <v>0.0</v>
      </c>
      <c r="X42" s="23">
        <f>O42+P42+Q42+U42+V42+W42</f>
        <v>3.0</v>
      </c>
      <c r="Y42" s="5">
        <v>0.0</v>
      </c>
      <c r="Z42" s="7"/>
      <c r="AA42" s="7"/>
      <c r="AB42" s="7"/>
      <c r="AC42" s="7"/>
      <c r="AD42" s="7"/>
      <c r="AE42" s="7"/>
      <c r="AF42" s="7"/>
      <c r="AG42" s="7"/>
      <c r="AH42" s="18"/>
      <c r="AI42" s="7"/>
      <c r="AJ42" s="7"/>
      <c r="AK42" s="7"/>
      <c r="AL42" s="7"/>
      <c r="AM42" s="7"/>
      <c r="AN42" s="19">
        <v>0.0</v>
      </c>
    </row>
    <row r="43" spans="1:40" s="4" customFormat="1" ht="16.5">
      <c r="A43" s="4"/>
      <c r="B43" s="2"/>
      <c r="C43" s="2"/>
      <c r="D43" s="2" t="s">
        <v>106</v>
      </c>
      <c r="E43" s="11">
        <v>3.0</v>
      </c>
      <c r="F43" s="7">
        <v>0.3333333333333333</v>
      </c>
      <c r="G43" s="7">
        <v>0.6666666666666666</v>
      </c>
      <c r="H43" s="7">
        <v>1.0</v>
      </c>
      <c r="I43" s="7">
        <v>1.0</v>
      </c>
      <c r="J43" s="7">
        <v>1.0</v>
      </c>
      <c r="K43" s="7">
        <v>0.3333333333333333</v>
      </c>
      <c r="L43" s="7">
        <v>0.6666666666666666</v>
      </c>
      <c r="M43" s="7">
        <v>0.6666666666666666</v>
      </c>
      <c r="N43" s="21">
        <f>F43+G43+H43+I43+J43+K43+L43+M43</f>
        <v>5.666666666666667</v>
      </c>
      <c r="O43" s="7">
        <v>1.0</v>
      </c>
      <c r="P43" s="7">
        <v>1.0</v>
      </c>
      <c r="Q43" s="7">
        <v>0.0</v>
      </c>
      <c r="R43" s="7"/>
      <c r="S43" s="7"/>
      <c r="T43" s="7"/>
      <c r="U43" s="7">
        <v>1.0</v>
      </c>
      <c r="V43" s="7">
        <v>1.0</v>
      </c>
      <c r="W43" s="7">
        <v>1.0</v>
      </c>
      <c r="X43" s="23">
        <f>O43+P43+Q43+U43+V43+W43</f>
        <v>5.0</v>
      </c>
      <c r="Y43" s="5">
        <v>1.0</v>
      </c>
      <c r="Z43" s="7">
        <v>0.0</v>
      </c>
      <c r="AA43" s="7">
        <v>1.0</v>
      </c>
      <c r="AB43" s="7">
        <v>0.0</v>
      </c>
      <c r="AC43" s="7">
        <v>0.0</v>
      </c>
      <c r="AD43" s="7">
        <v>0.0</v>
      </c>
      <c r="AE43" s="7">
        <v>0.0</v>
      </c>
      <c r="AF43" s="7">
        <v>0.0</v>
      </c>
      <c r="AG43" s="7">
        <v>0.0</v>
      </c>
      <c r="AH43" s="18"/>
      <c r="AI43" s="7"/>
      <c r="AJ43" s="7"/>
      <c r="AK43" s="7"/>
      <c r="AL43" s="7"/>
      <c r="AM43" s="7"/>
      <c r="AN43" s="19">
        <v>0.0</v>
      </c>
    </row>
    <row r="44" spans="1:40" s="4" customFormat="1" ht="16.5">
      <c r="A44" s="4"/>
      <c r="B44" s="2"/>
      <c r="C44" s="2"/>
      <c r="D44" s="2" t="s">
        <v>107</v>
      </c>
      <c r="E44" s="11">
        <v>1.0</v>
      </c>
      <c r="F44" s="7">
        <v>0.0</v>
      </c>
      <c r="G44" s="7">
        <v>1.0</v>
      </c>
      <c r="H44" s="7">
        <v>1.0</v>
      </c>
      <c r="I44" s="7">
        <v>1.0</v>
      </c>
      <c r="J44" s="7">
        <v>1.0</v>
      </c>
      <c r="K44" s="7">
        <v>0.0</v>
      </c>
      <c r="L44" s="7">
        <v>1.0</v>
      </c>
      <c r="M44" s="7">
        <v>1.0</v>
      </c>
      <c r="N44" s="21">
        <f>F44+G44+H44+I44+J44+K44+L44+M44</f>
        <v>6.0</v>
      </c>
      <c r="O44" s="7">
        <v>0.0</v>
      </c>
      <c r="P44" s="7">
        <v>0.0</v>
      </c>
      <c r="Q44" s="7">
        <v>0.0</v>
      </c>
      <c r="R44" s="7"/>
      <c r="S44" s="7"/>
      <c r="T44" s="7"/>
      <c r="U44" s="7">
        <v>0.0</v>
      </c>
      <c r="V44" s="7">
        <v>0.0</v>
      </c>
      <c r="W44" s="7">
        <v>0.0</v>
      </c>
      <c r="X44" s="23">
        <f>O44+P44+Q44+U44+V44+W44</f>
        <v>0.0</v>
      </c>
      <c r="Y44" s="5">
        <v>0.0</v>
      </c>
      <c r="Z44" s="7"/>
      <c r="AA44" s="7"/>
      <c r="AB44" s="7"/>
      <c r="AC44" s="7"/>
      <c r="AD44" s="7"/>
      <c r="AE44" s="7"/>
      <c r="AF44" s="7"/>
      <c r="AG44" s="7"/>
      <c r="AH44" s="18"/>
      <c r="AI44" s="7"/>
      <c r="AJ44" s="7"/>
      <c r="AK44" s="7"/>
      <c r="AL44" s="7"/>
      <c r="AM44" s="7"/>
      <c r="AN44" s="19">
        <v>0.0</v>
      </c>
    </row>
    <row r="45" spans="1:40" s="4" customFormat="1" ht="16.5">
      <c r="A45" s="4"/>
      <c r="B45" s="2"/>
      <c r="C45" s="2"/>
      <c r="D45" s="2" t="s">
        <v>108</v>
      </c>
      <c r="E45" s="11">
        <v>0.0</v>
      </c>
      <c r="F45" s="7"/>
      <c r="G45" s="7"/>
      <c r="H45" s="7"/>
      <c r="I45" s="7"/>
      <c r="J45" s="7"/>
      <c r="K45" s="7"/>
      <c r="L45" s="7"/>
      <c r="M45" s="7"/>
      <c r="N45" s="21">
        <f>F45+G45+H45+I45+J45+K45+L45+M45</f>
        <v>0.0</v>
      </c>
      <c r="O45" s="7"/>
      <c r="P45" s="7"/>
      <c r="Q45" s="7"/>
      <c r="R45" s="7"/>
      <c r="S45" s="7"/>
      <c r="T45" s="7"/>
      <c r="U45" s="7"/>
      <c r="V45" s="7"/>
      <c r="W45" s="7"/>
      <c r="X45" s="23">
        <f>O45+P45+Q45+U45+V45+W45</f>
        <v>0.0</v>
      </c>
      <c r="Y45" s="5">
        <v>0.0</v>
      </c>
      <c r="Z45" s="7"/>
      <c r="AA45" s="7"/>
      <c r="AB45" s="7"/>
      <c r="AC45" s="7"/>
      <c r="AD45" s="7"/>
      <c r="AE45" s="7"/>
      <c r="AF45" s="7"/>
      <c r="AG45" s="7"/>
      <c r="AH45" s="18"/>
      <c r="AI45" s="7"/>
      <c r="AJ45" s="7"/>
      <c r="AK45" s="7"/>
      <c r="AL45" s="7"/>
      <c r="AM45" s="7"/>
      <c r="AN45" s="19">
        <v>0.0</v>
      </c>
    </row>
    <row r="46" spans="1:40" s="4" customFormat="1" ht="16.5">
      <c r="A46" s="4"/>
      <c r="B46" s="2"/>
      <c r="C46" s="2"/>
      <c r="D46" s="2" t="s">
        <v>109</v>
      </c>
      <c r="E46" s="11">
        <v>1.0</v>
      </c>
      <c r="F46" s="7">
        <v>1.0</v>
      </c>
      <c r="G46" s="7">
        <v>1.0</v>
      </c>
      <c r="H46" s="7">
        <v>0.0</v>
      </c>
      <c r="I46" s="7">
        <v>1.0</v>
      </c>
      <c r="J46" s="7">
        <v>1.0</v>
      </c>
      <c r="K46" s="7">
        <v>1.0</v>
      </c>
      <c r="L46" s="7">
        <v>1.0</v>
      </c>
      <c r="M46" s="7">
        <v>1.0</v>
      </c>
      <c r="N46" s="21">
        <f>F46+G46+H46+I46+J46+K46+L46+M46</f>
        <v>7.0</v>
      </c>
      <c r="O46" s="7">
        <v>0.5</v>
      </c>
      <c r="P46" s="7">
        <v>0.25</v>
      </c>
      <c r="Q46" s="7">
        <v>0.5</v>
      </c>
      <c r="R46" s="7">
        <v>1.0</v>
      </c>
      <c r="S46" s="7">
        <v>0.0</v>
      </c>
      <c r="T46" s="7">
        <v>0.0</v>
      </c>
      <c r="U46" s="7">
        <v>0.0</v>
      </c>
      <c r="V46" s="7">
        <v>0.0</v>
      </c>
      <c r="W46" s="7">
        <v>0.0</v>
      </c>
      <c r="X46" s="23">
        <f>O46+P46+Q46+U46+V46+W46</f>
        <v>1.25</v>
      </c>
      <c r="Y46" s="5">
        <v>0.0</v>
      </c>
      <c r="Z46" s="7"/>
      <c r="AA46" s="7"/>
      <c r="AB46" s="7"/>
      <c r="AC46" s="7"/>
      <c r="AD46" s="7"/>
      <c r="AE46" s="7"/>
      <c r="AF46" s="7"/>
      <c r="AG46" s="7"/>
      <c r="AH46" s="18">
        <v>1.0</v>
      </c>
      <c r="AI46" s="7">
        <v>1.0</v>
      </c>
      <c r="AJ46" s="7">
        <v>0.0</v>
      </c>
      <c r="AK46" s="7">
        <v>0.0</v>
      </c>
      <c r="AL46" s="7">
        <v>1.0</v>
      </c>
      <c r="AM46" s="7">
        <v>1.0</v>
      </c>
      <c r="AN46" s="19">
        <v>3.0</v>
      </c>
    </row>
    <row r="47" spans="1:40" s="4" customFormat="1" ht="16.5">
      <c r="A47" s="4"/>
      <c r="B47" s="2"/>
      <c r="C47" s="2"/>
      <c r="D47" s="2" t="s">
        <v>110</v>
      </c>
      <c r="E47" s="11">
        <v>2.0</v>
      </c>
      <c r="F47" s="7">
        <v>1.0</v>
      </c>
      <c r="G47" s="7">
        <v>1.0</v>
      </c>
      <c r="H47" s="7">
        <v>1.0</v>
      </c>
      <c r="I47" s="7">
        <v>1.0</v>
      </c>
      <c r="J47" s="7">
        <v>1.0</v>
      </c>
      <c r="K47" s="7">
        <v>0.5</v>
      </c>
      <c r="L47" s="7">
        <v>1.0</v>
      </c>
      <c r="M47" s="7">
        <v>1.0</v>
      </c>
      <c r="N47" s="21">
        <f>F47+G47+H47+I47+J47+K47+L47+M47</f>
        <v>7.5</v>
      </c>
      <c r="O47" s="7">
        <v>0.0</v>
      </c>
      <c r="P47" s="7">
        <v>0.0</v>
      </c>
      <c r="Q47" s="7">
        <v>1.0</v>
      </c>
      <c r="R47" s="7">
        <v>0.0</v>
      </c>
      <c r="S47" s="7">
        <v>0.0</v>
      </c>
      <c r="T47" s="7">
        <v>1.0</v>
      </c>
      <c r="U47" s="7">
        <v>0.0</v>
      </c>
      <c r="V47" s="7">
        <v>1.0</v>
      </c>
      <c r="W47" s="7">
        <v>0.0</v>
      </c>
      <c r="X47" s="23">
        <f>O47+P47+Q47+U47+V47+W47</f>
        <v>2.0</v>
      </c>
      <c r="Y47" s="5">
        <v>0.0</v>
      </c>
      <c r="Z47" s="7"/>
      <c r="AA47" s="7"/>
      <c r="AB47" s="7"/>
      <c r="AC47" s="7"/>
      <c r="AD47" s="7"/>
      <c r="AE47" s="7"/>
      <c r="AF47" s="7"/>
      <c r="AG47" s="7"/>
      <c r="AH47" s="18"/>
      <c r="AI47" s="7"/>
      <c r="AJ47" s="7"/>
      <c r="AK47" s="7"/>
      <c r="AL47" s="7"/>
      <c r="AM47" s="7"/>
      <c r="AN47" s="19">
        <v>0.0</v>
      </c>
    </row>
    <row r="48" spans="1:40" s="4" customFormat="1" ht="16.5">
      <c r="A48" s="4"/>
      <c r="B48" s="2"/>
      <c r="C48" s="2"/>
      <c r="D48" s="2" t="s">
        <v>111</v>
      </c>
      <c r="E48" s="11">
        <v>0.0</v>
      </c>
      <c r="F48" s="7"/>
      <c r="G48" s="7"/>
      <c r="H48" s="7"/>
      <c r="I48" s="7"/>
      <c r="J48" s="7"/>
      <c r="K48" s="7"/>
      <c r="L48" s="7"/>
      <c r="M48" s="7"/>
      <c r="N48" s="21">
        <f>F48+G48+H48+I48+J48+K48+L48+M48</f>
        <v>0.0</v>
      </c>
      <c r="O48" s="7"/>
      <c r="P48" s="7"/>
      <c r="Q48" s="7"/>
      <c r="R48" s="7"/>
      <c r="S48" s="7"/>
      <c r="T48" s="7"/>
      <c r="U48" s="7"/>
      <c r="V48" s="7"/>
      <c r="W48" s="7"/>
      <c r="X48" s="23">
        <f>O48+P48+Q48+U48+V48+W48</f>
        <v>0.0</v>
      </c>
      <c r="Y48" s="5">
        <v>1.0</v>
      </c>
      <c r="Z48" s="7">
        <v>1.0</v>
      </c>
      <c r="AA48" s="7">
        <v>1.0</v>
      </c>
      <c r="AB48" s="7">
        <v>0.0</v>
      </c>
      <c r="AC48" s="7">
        <v>0.0</v>
      </c>
      <c r="AD48" s="7">
        <v>0.0</v>
      </c>
      <c r="AE48" s="7">
        <v>0.0</v>
      </c>
      <c r="AF48" s="7">
        <v>0.0</v>
      </c>
      <c r="AG48" s="7">
        <v>1.0</v>
      </c>
      <c r="AH48" s="18"/>
      <c r="AI48" s="7"/>
      <c r="AJ48" s="7"/>
      <c r="AK48" s="7"/>
      <c r="AL48" s="7"/>
      <c r="AM48" s="7"/>
      <c r="AN48" s="19">
        <v>0.0</v>
      </c>
    </row>
    <row r="49" spans="1:40" s="4" customFormat="1" ht="16.5">
      <c r="A49" s="4"/>
      <c r="B49" s="2"/>
      <c r="C49" s="2"/>
      <c r="D49" s="2" t="s">
        <v>112</v>
      </c>
      <c r="E49" s="11">
        <v>1.0</v>
      </c>
      <c r="F49" s="7">
        <v>0.0</v>
      </c>
      <c r="G49" s="7">
        <v>0.0</v>
      </c>
      <c r="H49" s="7">
        <v>0.0</v>
      </c>
      <c r="I49" s="7">
        <v>0.0</v>
      </c>
      <c r="J49" s="7">
        <v>0.0</v>
      </c>
      <c r="K49" s="7">
        <v>0.0</v>
      </c>
      <c r="L49" s="7">
        <v>1.0</v>
      </c>
      <c r="M49" s="7">
        <v>0.0</v>
      </c>
      <c r="N49" s="21">
        <f>F49+G49+H49+I49+J49+K49+L49+M49</f>
        <v>1.0</v>
      </c>
      <c r="O49" s="7"/>
      <c r="P49" s="7"/>
      <c r="Q49" s="7"/>
      <c r="R49" s="7"/>
      <c r="S49" s="7"/>
      <c r="T49" s="7"/>
      <c r="U49" s="7"/>
      <c r="V49" s="7"/>
      <c r="W49" s="7"/>
      <c r="X49" s="23">
        <f>O49+P49+Q49+U49+V49+W49</f>
        <v>0.0</v>
      </c>
      <c r="Y49" s="5">
        <v>0.0</v>
      </c>
      <c r="Z49" s="7"/>
      <c r="AA49" s="7"/>
      <c r="AB49" s="7"/>
      <c r="AC49" s="7"/>
      <c r="AD49" s="7"/>
      <c r="AE49" s="7"/>
      <c r="AF49" s="7"/>
      <c r="AG49" s="7"/>
      <c r="AH49" s="18">
        <v>1.0</v>
      </c>
      <c r="AI49" s="7">
        <v>1.0</v>
      </c>
      <c r="AJ49" s="7">
        <v>0.0</v>
      </c>
      <c r="AK49" s="7">
        <v>0.0</v>
      </c>
      <c r="AL49" s="7">
        <v>1.0</v>
      </c>
      <c r="AM49" s="7">
        <v>0.0</v>
      </c>
      <c r="AN49" s="19">
        <v>2.0</v>
      </c>
    </row>
    <row r="50" spans="1:40" s="4" customFormat="1" ht="16.5">
      <c r="A50" s="4"/>
      <c r="B50" s="2"/>
      <c r="C50" s="2"/>
      <c r="D50" s="2" t="s">
        <v>113</v>
      </c>
      <c r="E50" s="11">
        <v>3.0</v>
      </c>
      <c r="F50" s="7">
        <v>0.6666666666666666</v>
      </c>
      <c r="G50" s="7">
        <v>0.6666666666666666</v>
      </c>
      <c r="H50" s="7">
        <v>1.0</v>
      </c>
      <c r="I50" s="7">
        <v>1.0</v>
      </c>
      <c r="J50" s="7">
        <v>1.0</v>
      </c>
      <c r="K50" s="7">
        <v>0.0</v>
      </c>
      <c r="L50" s="7">
        <v>0.6666666666666666</v>
      </c>
      <c r="M50" s="7">
        <v>0.6666666666666666</v>
      </c>
      <c r="N50" s="21">
        <f>F50+G50+H50+I50+J50+K50+L50+M50</f>
        <v>5.666666666666667</v>
      </c>
      <c r="O50" s="7">
        <v>1.0</v>
      </c>
      <c r="P50" s="7">
        <v>1.0</v>
      </c>
      <c r="Q50" s="7">
        <v>1.0</v>
      </c>
      <c r="R50" s="7">
        <v>0.0</v>
      </c>
      <c r="S50" s="7">
        <v>1.0</v>
      </c>
      <c r="T50" s="7">
        <v>0.0</v>
      </c>
      <c r="U50" s="7">
        <v>0.0</v>
      </c>
      <c r="V50" s="7">
        <v>0.0</v>
      </c>
      <c r="W50" s="7">
        <v>0.0</v>
      </c>
      <c r="X50" s="23">
        <f>O50+P50+Q50+U50+V50+W50</f>
        <v>3.0</v>
      </c>
      <c r="Y50" s="5">
        <v>0.0</v>
      </c>
      <c r="Z50" s="7"/>
      <c r="AA50" s="7"/>
      <c r="AB50" s="7"/>
      <c r="AC50" s="7"/>
      <c r="AD50" s="7"/>
      <c r="AE50" s="7"/>
      <c r="AF50" s="7"/>
      <c r="AG50" s="7"/>
      <c r="AH50" s="18"/>
      <c r="AI50" s="7"/>
      <c r="AJ50" s="7"/>
      <c r="AK50" s="7"/>
      <c r="AL50" s="7"/>
      <c r="AM50" s="7"/>
      <c r="AN50" s="19">
        <v>0.0</v>
      </c>
    </row>
    <row r="51" spans="1:40" s="4" customFormat="1" ht="16.5">
      <c r="A51" s="4"/>
      <c r="B51" s="2"/>
      <c r="C51" s="2"/>
      <c r="D51" s="2" t="s">
        <v>114</v>
      </c>
      <c r="E51" s="11">
        <v>1.0</v>
      </c>
      <c r="F51" s="7">
        <v>1.0</v>
      </c>
      <c r="G51" s="7">
        <v>1.0</v>
      </c>
      <c r="H51" s="7">
        <v>1.0</v>
      </c>
      <c r="I51" s="7">
        <v>1.0</v>
      </c>
      <c r="J51" s="7">
        <v>1.0</v>
      </c>
      <c r="K51" s="7">
        <v>1.0</v>
      </c>
      <c r="L51" s="7">
        <v>1.0</v>
      </c>
      <c r="M51" s="7">
        <v>1.0</v>
      </c>
      <c r="N51" s="21">
        <f>F51+G51+H51+I51+J51+K51+L51+M51</f>
        <v>8.0</v>
      </c>
      <c r="O51" s="7">
        <v>0.0</v>
      </c>
      <c r="P51" s="7">
        <v>0.0</v>
      </c>
      <c r="Q51" s="7">
        <v>1.0</v>
      </c>
      <c r="R51" s="7">
        <v>0.0</v>
      </c>
      <c r="S51" s="7">
        <v>1.0</v>
      </c>
      <c r="T51" s="7">
        <v>0.0</v>
      </c>
      <c r="U51" s="7">
        <v>0.0</v>
      </c>
      <c r="V51" s="7">
        <v>0.0</v>
      </c>
      <c r="W51" s="7">
        <v>0.0</v>
      </c>
      <c r="X51" s="23">
        <f>O51+P51+Q51+U51+V51+W51</f>
        <v>1.0</v>
      </c>
      <c r="Y51" s="5">
        <v>0.0</v>
      </c>
      <c r="Z51" s="7"/>
      <c r="AA51" s="7"/>
      <c r="AB51" s="7"/>
      <c r="AC51" s="7"/>
      <c r="AD51" s="7"/>
      <c r="AE51" s="7"/>
      <c r="AF51" s="7"/>
      <c r="AG51" s="7"/>
      <c r="AH51" s="18">
        <v>1.0</v>
      </c>
      <c r="AI51" s="7">
        <v>0.0</v>
      </c>
      <c r="AJ51" s="7">
        <v>0.0</v>
      </c>
      <c r="AK51" s="7">
        <v>0.0</v>
      </c>
      <c r="AL51" s="7">
        <v>0.0</v>
      </c>
      <c r="AM51" s="7">
        <v>0.0</v>
      </c>
      <c r="AN51" s="19">
        <v>0.0</v>
      </c>
    </row>
    <row r="52" spans="1:40" s="4" customFormat="1" ht="16.5">
      <c r="A52" s="4"/>
      <c r="B52" s="2"/>
      <c r="C52" s="2"/>
      <c r="D52" s="2" t="s">
        <v>115</v>
      </c>
      <c r="E52" s="11">
        <v>0.0</v>
      </c>
      <c r="F52" s="7"/>
      <c r="G52" s="7"/>
      <c r="H52" s="7"/>
      <c r="I52" s="7"/>
      <c r="J52" s="7"/>
      <c r="K52" s="7"/>
      <c r="L52" s="7"/>
      <c r="M52" s="7"/>
      <c r="N52" s="21">
        <f>F52+G52+H52+I52+J52+K52+L52+M52</f>
        <v>0.0</v>
      </c>
      <c r="O52" s="7"/>
      <c r="P52" s="7"/>
      <c r="Q52" s="7"/>
      <c r="R52" s="7"/>
      <c r="S52" s="7"/>
      <c r="T52" s="7"/>
      <c r="U52" s="7"/>
      <c r="V52" s="7"/>
      <c r="W52" s="7"/>
      <c r="X52" s="23">
        <f>O52+P52+Q52+U52+V52+W52</f>
        <v>0.0</v>
      </c>
      <c r="Y52" s="5">
        <v>0.0</v>
      </c>
      <c r="Z52" s="7"/>
      <c r="AA52" s="7"/>
      <c r="AB52" s="7"/>
      <c r="AC52" s="7"/>
      <c r="AD52" s="7"/>
      <c r="AE52" s="7"/>
      <c r="AF52" s="7"/>
      <c r="AG52" s="7"/>
      <c r="AH52" s="18">
        <v>2.0</v>
      </c>
      <c r="AI52" s="7">
        <v>0.5</v>
      </c>
      <c r="AJ52" s="7">
        <v>0.0</v>
      </c>
      <c r="AK52" s="7">
        <v>0.5</v>
      </c>
      <c r="AL52" s="7">
        <v>0.5</v>
      </c>
      <c r="AM52" s="7">
        <v>0.5</v>
      </c>
      <c r="AN52" s="19">
        <v>1.5</v>
      </c>
    </row>
    <row r="53" spans="1:40" s="4" customFormat="1" ht="16.5">
      <c r="A53" s="4"/>
      <c r="B53" s="2" t="s">
        <v>72</v>
      </c>
      <c r="C53" s="2" t="s">
        <v>73</v>
      </c>
      <c r="D53" s="2" t="s">
        <v>116</v>
      </c>
      <c r="E53" s="11">
        <v>0.0</v>
      </c>
      <c r="F53" s="7"/>
      <c r="G53" s="7"/>
      <c r="H53" s="7"/>
      <c r="I53" s="7"/>
      <c r="J53" s="7"/>
      <c r="K53" s="7"/>
      <c r="L53" s="7"/>
      <c r="M53" s="7"/>
      <c r="N53" s="21">
        <f>F53+G53+H53+I53+J53+K53+L53+M53</f>
        <v>0.0</v>
      </c>
      <c r="O53" s="7"/>
      <c r="P53" s="7"/>
      <c r="Q53" s="7"/>
      <c r="R53" s="7"/>
      <c r="S53" s="7"/>
      <c r="T53" s="7"/>
      <c r="U53" s="7"/>
      <c r="V53" s="7"/>
      <c r="W53" s="7"/>
      <c r="X53" s="23">
        <f>O53+P53+Q53+U53+V53+W53</f>
        <v>0.0</v>
      </c>
      <c r="Y53" s="5">
        <v>0.0</v>
      </c>
      <c r="Z53" s="7"/>
      <c r="AA53" s="7"/>
      <c r="AB53" s="7"/>
      <c r="AC53" s="7"/>
      <c r="AD53" s="7"/>
      <c r="AE53" s="7"/>
      <c r="AF53" s="7"/>
      <c r="AG53" s="7"/>
      <c r="AH53" s="18"/>
      <c r="AI53" s="7"/>
      <c r="AJ53" s="7"/>
      <c r="AK53" s="7"/>
      <c r="AL53" s="7"/>
      <c r="AM53" s="7"/>
      <c r="AN53" s="19">
        <v>0.0</v>
      </c>
    </row>
    <row r="54" spans="1:40" s="4" customFormat="1" ht="16.5">
      <c r="A54" s="4"/>
      <c r="B54" s="2"/>
      <c r="C54" s="2"/>
      <c r="D54" s="2" t="s">
        <v>117</v>
      </c>
      <c r="E54" s="11">
        <v>5.0</v>
      </c>
      <c r="F54" s="7">
        <v>0.6</v>
      </c>
      <c r="G54" s="7">
        <v>0.4</v>
      </c>
      <c r="H54" s="7">
        <v>0.8</v>
      </c>
      <c r="I54" s="7">
        <v>1.0</v>
      </c>
      <c r="J54" s="7">
        <v>0.8</v>
      </c>
      <c r="K54" s="7">
        <v>0.0</v>
      </c>
      <c r="L54" s="7">
        <v>0.8</v>
      </c>
      <c r="M54" s="7">
        <v>1.0</v>
      </c>
      <c r="N54" s="21">
        <f>F54+G54+H54+I54+J54+K54+L54+M54</f>
        <v>5.3999999999999995</v>
      </c>
      <c r="O54" s="7">
        <v>1.0</v>
      </c>
      <c r="P54" s="7">
        <v>0.0</v>
      </c>
      <c r="Q54" s="7">
        <v>0.5</v>
      </c>
      <c r="R54" s="7">
        <v>0.0</v>
      </c>
      <c r="S54" s="7">
        <v>0.0</v>
      </c>
      <c r="T54" s="7">
        <v>1.0</v>
      </c>
      <c r="U54" s="7">
        <v>0.0</v>
      </c>
      <c r="V54" s="7">
        <v>0.5</v>
      </c>
      <c r="W54" s="7">
        <v>0.0</v>
      </c>
      <c r="X54" s="23">
        <f>O54+P54+Q54+U54+V54+W54</f>
        <v>2.0</v>
      </c>
      <c r="Y54" s="5">
        <v>0.0</v>
      </c>
      <c r="Z54" s="7"/>
      <c r="AA54" s="7"/>
      <c r="AB54" s="7"/>
      <c r="AC54" s="7"/>
      <c r="AD54" s="7"/>
      <c r="AE54" s="7"/>
      <c r="AF54" s="7"/>
      <c r="AG54" s="7"/>
      <c r="AH54" s="18"/>
      <c r="AI54" s="7"/>
      <c r="AJ54" s="7"/>
      <c r="AK54" s="7"/>
      <c r="AL54" s="7"/>
      <c r="AM54" s="7"/>
      <c r="AN54" s="19">
        <v>0.0</v>
      </c>
    </row>
    <row r="55" spans="1:40" s="4" customFormat="1" ht="16.5">
      <c r="A55" s="4"/>
      <c r="B55" s="2"/>
      <c r="C55" s="2"/>
      <c r="D55" s="2" t="s">
        <v>118</v>
      </c>
      <c r="E55" s="11">
        <v>1.0</v>
      </c>
      <c r="F55" s="7">
        <v>1.0</v>
      </c>
      <c r="G55" s="7">
        <v>1.0</v>
      </c>
      <c r="H55" s="7">
        <v>1.0</v>
      </c>
      <c r="I55" s="7">
        <v>1.0</v>
      </c>
      <c r="J55" s="7">
        <v>1.0</v>
      </c>
      <c r="K55" s="7">
        <v>0.0</v>
      </c>
      <c r="L55" s="7">
        <v>1.0</v>
      </c>
      <c r="M55" s="7">
        <v>1.0</v>
      </c>
      <c r="N55" s="21">
        <f>F55+G55+H55+I55+J55+K55+L55+M55</f>
        <v>7.0</v>
      </c>
      <c r="O55" s="7"/>
      <c r="P55" s="7"/>
      <c r="Q55" s="7"/>
      <c r="R55" s="7"/>
      <c r="S55" s="7"/>
      <c r="T55" s="7"/>
      <c r="U55" s="7"/>
      <c r="V55" s="7"/>
      <c r="W55" s="7"/>
      <c r="X55" s="23">
        <f>O55+P55+Q55+U55+V55+W55</f>
        <v>0.0</v>
      </c>
      <c r="Y55" s="5">
        <v>0.0</v>
      </c>
      <c r="Z55" s="7"/>
      <c r="AA55" s="7"/>
      <c r="AB55" s="7"/>
      <c r="AC55" s="7"/>
      <c r="AD55" s="7"/>
      <c r="AE55" s="7"/>
      <c r="AF55" s="7"/>
      <c r="AG55" s="7"/>
      <c r="AH55" s="18">
        <v>1.0</v>
      </c>
      <c r="AI55" s="7">
        <v>0.0</v>
      </c>
      <c r="AJ55" s="7">
        <v>1.0</v>
      </c>
      <c r="AK55" s="7">
        <v>0.0</v>
      </c>
      <c r="AL55" s="7">
        <v>1.0</v>
      </c>
      <c r="AM55" s="7">
        <v>0.0</v>
      </c>
      <c r="AN55" s="19">
        <v>2.0</v>
      </c>
    </row>
    <row r="56" spans="1:40" s="4" customFormat="1" ht="16.5">
      <c r="A56" s="4"/>
      <c r="B56" s="2"/>
      <c r="C56" s="2"/>
      <c r="D56" s="2" t="s">
        <v>119</v>
      </c>
      <c r="E56" s="11">
        <v>1.0</v>
      </c>
      <c r="F56" s="7">
        <v>0.0</v>
      </c>
      <c r="G56" s="7">
        <v>0.0</v>
      </c>
      <c r="H56" s="7">
        <v>1.0</v>
      </c>
      <c r="I56" s="7">
        <v>1.0</v>
      </c>
      <c r="J56" s="7">
        <v>1.0</v>
      </c>
      <c r="K56" s="7">
        <v>0.0</v>
      </c>
      <c r="L56" s="7">
        <v>1.0</v>
      </c>
      <c r="M56" s="7">
        <v>1.0</v>
      </c>
      <c r="N56" s="21">
        <f>F56+G56+H56+I56+J56+K56+L56+M56</f>
        <v>5.0</v>
      </c>
      <c r="O56" s="7"/>
      <c r="P56" s="7"/>
      <c r="Q56" s="7"/>
      <c r="R56" s="7"/>
      <c r="S56" s="7"/>
      <c r="T56" s="7"/>
      <c r="U56" s="7"/>
      <c r="V56" s="7"/>
      <c r="W56" s="7"/>
      <c r="X56" s="23">
        <f>O56+P56+Q56+U56+V56+W56</f>
        <v>0.0</v>
      </c>
      <c r="Y56" s="5">
        <v>0.0</v>
      </c>
      <c r="Z56" s="7"/>
      <c r="AA56" s="7"/>
      <c r="AB56" s="7"/>
      <c r="AC56" s="7"/>
      <c r="AD56" s="7"/>
      <c r="AE56" s="7"/>
      <c r="AF56" s="7"/>
      <c r="AG56" s="7"/>
      <c r="AH56" s="18">
        <v>1.0</v>
      </c>
      <c r="AI56" s="7">
        <v>0.0</v>
      </c>
      <c r="AJ56" s="7">
        <v>0.0</v>
      </c>
      <c r="AK56" s="7">
        <v>0.0</v>
      </c>
      <c r="AL56" s="7">
        <v>0.0</v>
      </c>
      <c r="AM56" s="7">
        <v>0.0</v>
      </c>
      <c r="AN56" s="19">
        <v>0.0</v>
      </c>
    </row>
    <row r="57" spans="1:40" s="4" customFormat="1" ht="16.5">
      <c r="A57" s="4"/>
      <c r="B57" s="2"/>
      <c r="C57" s="2"/>
      <c r="D57" s="2" t="s">
        <v>120</v>
      </c>
      <c r="E57" s="11">
        <v>0.0</v>
      </c>
      <c r="F57" s="7"/>
      <c r="G57" s="7"/>
      <c r="H57" s="7"/>
      <c r="I57" s="7"/>
      <c r="J57" s="7"/>
      <c r="K57" s="7"/>
      <c r="L57" s="7"/>
      <c r="M57" s="7"/>
      <c r="N57" s="21">
        <f>F57+G57+H57+I57+J57+K57+L57+M57</f>
        <v>0.0</v>
      </c>
      <c r="O57" s="7"/>
      <c r="P57" s="7"/>
      <c r="Q57" s="7"/>
      <c r="R57" s="7"/>
      <c r="S57" s="7"/>
      <c r="T57" s="7"/>
      <c r="U57" s="7"/>
      <c r="V57" s="7"/>
      <c r="W57" s="7"/>
      <c r="X57" s="23">
        <f>O57+P57+Q57+U57+V57+W57</f>
        <v>0.0</v>
      </c>
      <c r="Y57" s="5">
        <v>0.0</v>
      </c>
      <c r="Z57" s="7"/>
      <c r="AA57" s="7"/>
      <c r="AB57" s="7"/>
      <c r="AC57" s="7"/>
      <c r="AD57" s="7"/>
      <c r="AE57" s="7"/>
      <c r="AF57" s="7"/>
      <c r="AG57" s="7"/>
      <c r="AH57" s="18">
        <v>2.0</v>
      </c>
      <c r="AI57" s="7">
        <v>1.0</v>
      </c>
      <c r="AJ57" s="7">
        <v>0.0</v>
      </c>
      <c r="AK57" s="7">
        <v>0.0</v>
      </c>
      <c r="AL57" s="7">
        <v>1.0</v>
      </c>
      <c r="AM57" s="7">
        <v>0.0</v>
      </c>
      <c r="AN57" s="19">
        <v>2.0</v>
      </c>
    </row>
    <row r="58" spans="1:40" s="4" customFormat="1" ht="16.5">
      <c r="A58" s="4"/>
      <c r="B58" s="2"/>
      <c r="C58" s="2"/>
      <c r="D58" s="2" t="s">
        <v>121</v>
      </c>
      <c r="E58" s="11">
        <v>2.0</v>
      </c>
      <c r="F58" s="7">
        <v>0.5</v>
      </c>
      <c r="G58" s="7">
        <v>0.5</v>
      </c>
      <c r="H58" s="7">
        <v>0.5</v>
      </c>
      <c r="I58" s="7">
        <v>1.0</v>
      </c>
      <c r="J58" s="7">
        <v>0.0</v>
      </c>
      <c r="K58" s="7">
        <v>0.5</v>
      </c>
      <c r="L58" s="7">
        <v>1.0</v>
      </c>
      <c r="M58" s="7">
        <v>1.0</v>
      </c>
      <c r="N58" s="21">
        <f>F58+G58+H58+I58+J58+K58+L58+M58</f>
        <v>5.0</v>
      </c>
      <c r="O58" s="7">
        <v>0.0</v>
      </c>
      <c r="P58" s="7">
        <v>0.0</v>
      </c>
      <c r="Q58" s="7">
        <v>0.0</v>
      </c>
      <c r="R58" s="7"/>
      <c r="S58" s="7"/>
      <c r="T58" s="7"/>
      <c r="U58" s="7">
        <v>0.0</v>
      </c>
      <c r="V58" s="7">
        <v>0.0</v>
      </c>
      <c r="W58" s="7">
        <v>0.0</v>
      </c>
      <c r="X58" s="23">
        <f>O58+P58+Q58+U58+V58+W58</f>
        <v>0.0</v>
      </c>
      <c r="Y58" s="5">
        <v>2.0</v>
      </c>
      <c r="Z58" s="7">
        <v>0.5</v>
      </c>
      <c r="AA58" s="7">
        <v>0.0</v>
      </c>
      <c r="AB58" s="7">
        <v>0.0</v>
      </c>
      <c r="AC58" s="7">
        <v>0.0</v>
      </c>
      <c r="AD58" s="7">
        <v>0.0</v>
      </c>
      <c r="AE58" s="7">
        <v>0.0</v>
      </c>
      <c r="AF58" s="7">
        <v>0.5</v>
      </c>
      <c r="AG58" s="7">
        <v>0.0</v>
      </c>
      <c r="AH58" s="18">
        <v>2.0</v>
      </c>
      <c r="AI58" s="7">
        <v>1.0</v>
      </c>
      <c r="AJ58" s="7">
        <v>0.0</v>
      </c>
      <c r="AK58" s="7">
        <v>0.0</v>
      </c>
      <c r="AL58" s="7">
        <v>1.0</v>
      </c>
      <c r="AM58" s="7">
        <v>0.0</v>
      </c>
      <c r="AN58" s="19">
        <v>2.0</v>
      </c>
    </row>
    <row r="59" spans="1:40" s="4" customFormat="1" ht="16.5">
      <c r="A59" s="4"/>
      <c r="B59" s="2"/>
      <c r="C59" s="2"/>
      <c r="D59" s="2" t="s">
        <v>122</v>
      </c>
      <c r="E59" s="11">
        <v>4.0</v>
      </c>
      <c r="F59" s="7">
        <v>0.5</v>
      </c>
      <c r="G59" s="7">
        <v>1.0</v>
      </c>
      <c r="H59" s="7">
        <v>0.75</v>
      </c>
      <c r="I59" s="7">
        <v>1.0</v>
      </c>
      <c r="J59" s="7">
        <v>1.0</v>
      </c>
      <c r="K59" s="7">
        <v>0.25</v>
      </c>
      <c r="L59" s="7">
        <v>1.0</v>
      </c>
      <c r="M59" s="7">
        <v>0.75</v>
      </c>
      <c r="N59" s="21">
        <f>F59+G59+H59+I59+J59+K59+L59+M59</f>
        <v>6.25</v>
      </c>
      <c r="O59" s="7">
        <v>1.0</v>
      </c>
      <c r="P59" s="7">
        <v>0.0</v>
      </c>
      <c r="Q59" s="7">
        <v>1.0</v>
      </c>
      <c r="R59" s="7">
        <v>0.0</v>
      </c>
      <c r="S59" s="7">
        <v>1.0</v>
      </c>
      <c r="T59" s="7">
        <v>0.0</v>
      </c>
      <c r="U59" s="7">
        <v>0.0</v>
      </c>
      <c r="V59" s="7">
        <v>1.0</v>
      </c>
      <c r="W59" s="7">
        <v>0.0</v>
      </c>
      <c r="X59" s="23">
        <f>O59+P59+Q59+U59+V59+W59</f>
        <v>3.0</v>
      </c>
      <c r="Y59" s="5">
        <v>1.0</v>
      </c>
      <c r="Z59" s="7">
        <v>0.0</v>
      </c>
      <c r="AA59" s="7">
        <v>0.0</v>
      </c>
      <c r="AB59" s="7">
        <v>0.0</v>
      </c>
      <c r="AC59" s="7">
        <v>0.0</v>
      </c>
      <c r="AD59" s="7">
        <v>0.0</v>
      </c>
      <c r="AE59" s="7">
        <v>0.0</v>
      </c>
      <c r="AF59" s="7">
        <v>0.0</v>
      </c>
      <c r="AG59" s="7">
        <v>1.0</v>
      </c>
      <c r="AH59" s="18"/>
      <c r="AI59" s="7"/>
      <c r="AJ59" s="7"/>
      <c r="AK59" s="7"/>
      <c r="AL59" s="7"/>
      <c r="AM59" s="7"/>
      <c r="AN59" s="19">
        <v>0.0</v>
      </c>
    </row>
    <row r="60" spans="1:40" s="4" customFormat="1" ht="16.5">
      <c r="A60" s="4"/>
      <c r="B60" s="2"/>
      <c r="C60" s="2"/>
      <c r="D60" s="2" t="s">
        <v>123</v>
      </c>
      <c r="E60" s="11">
        <v>2.0</v>
      </c>
      <c r="F60" s="7">
        <v>0.0</v>
      </c>
      <c r="G60" s="7">
        <v>0.0</v>
      </c>
      <c r="H60" s="7">
        <v>0.0</v>
      </c>
      <c r="I60" s="7">
        <v>0.0</v>
      </c>
      <c r="J60" s="7">
        <v>0.0</v>
      </c>
      <c r="K60" s="7">
        <v>0.5</v>
      </c>
      <c r="L60" s="7">
        <v>0.0</v>
      </c>
      <c r="M60" s="7">
        <v>0.0</v>
      </c>
      <c r="N60" s="21">
        <f>F60+G60+H60+I60+J60+K60+L60+M60</f>
        <v>0.5</v>
      </c>
      <c r="O60" s="7"/>
      <c r="P60" s="7"/>
      <c r="Q60" s="7"/>
      <c r="R60" s="7"/>
      <c r="S60" s="7"/>
      <c r="T60" s="7"/>
      <c r="U60" s="7"/>
      <c r="V60" s="7"/>
      <c r="W60" s="7"/>
      <c r="X60" s="23">
        <f>O60+P60+Q60+U60+V60+W60</f>
        <v>0.0</v>
      </c>
      <c r="Y60" s="5">
        <v>1.0</v>
      </c>
      <c r="Z60" s="7">
        <v>0.0</v>
      </c>
      <c r="AA60" s="7">
        <v>1.0</v>
      </c>
      <c r="AB60" s="7">
        <v>0.0</v>
      </c>
      <c r="AC60" s="7">
        <v>0.0</v>
      </c>
      <c r="AD60" s="7">
        <v>0.0</v>
      </c>
      <c r="AE60" s="7">
        <v>0.0</v>
      </c>
      <c r="AF60" s="7">
        <v>0.0</v>
      </c>
      <c r="AG60" s="7">
        <v>0.0</v>
      </c>
      <c r="AH60" s="18">
        <v>1.0</v>
      </c>
      <c r="AI60" s="7">
        <v>1.0</v>
      </c>
      <c r="AJ60" s="7">
        <v>1.0</v>
      </c>
      <c r="AK60" s="7">
        <v>1.0</v>
      </c>
      <c r="AL60" s="7">
        <v>1.0</v>
      </c>
      <c r="AM60" s="7">
        <v>1.0</v>
      </c>
      <c r="AN60" s="19">
        <v>4.0</v>
      </c>
    </row>
    <row r="61" spans="1:40" s="4" customFormat="1" ht="16.5">
      <c r="A61" s="4"/>
      <c r="B61" s="2"/>
      <c r="C61" s="2"/>
      <c r="D61" s="2" t="s">
        <v>124</v>
      </c>
      <c r="E61" s="11">
        <v>0.0</v>
      </c>
      <c r="F61" s="7"/>
      <c r="G61" s="7"/>
      <c r="H61" s="7"/>
      <c r="I61" s="7"/>
      <c r="J61" s="7"/>
      <c r="K61" s="7"/>
      <c r="L61" s="7"/>
      <c r="M61" s="7"/>
      <c r="N61" s="21">
        <f>F61+G61+H61+I61+J61+K61+L61+M61</f>
        <v>0.0</v>
      </c>
      <c r="O61" s="7"/>
      <c r="P61" s="7"/>
      <c r="Q61" s="7"/>
      <c r="R61" s="7"/>
      <c r="S61" s="7"/>
      <c r="T61" s="7"/>
      <c r="U61" s="7"/>
      <c r="V61" s="7"/>
      <c r="W61" s="7"/>
      <c r="X61" s="23">
        <f>O61+P61+Q61+U61+V61+W61</f>
        <v>0.0</v>
      </c>
      <c r="Y61" s="5">
        <v>1.0</v>
      </c>
      <c r="Z61" s="7">
        <v>0.0</v>
      </c>
      <c r="AA61" s="7">
        <v>0.0</v>
      </c>
      <c r="AB61" s="7">
        <v>0.0</v>
      </c>
      <c r="AC61" s="7">
        <v>0.0</v>
      </c>
      <c r="AD61" s="7">
        <v>0.0</v>
      </c>
      <c r="AE61" s="7">
        <v>0.0</v>
      </c>
      <c r="AF61" s="7">
        <v>0.0</v>
      </c>
      <c r="AG61" s="7">
        <v>1.0</v>
      </c>
      <c r="AH61" s="18">
        <v>1.0</v>
      </c>
      <c r="AI61" s="7">
        <v>1.0</v>
      </c>
      <c r="AJ61" s="7">
        <v>1.0</v>
      </c>
      <c r="AK61" s="7">
        <v>0.0</v>
      </c>
      <c r="AL61" s="7">
        <v>1.0</v>
      </c>
      <c r="AM61" s="7">
        <v>1.0</v>
      </c>
      <c r="AN61" s="19">
        <v>4.0</v>
      </c>
    </row>
    <row r="62" spans="1:40" s="4" customFormat="1" ht="16.5">
      <c r="A62" s="4"/>
      <c r="B62" s="2"/>
      <c r="C62" s="2"/>
      <c r="D62" s="2" t="s">
        <v>125</v>
      </c>
      <c r="E62" s="11">
        <v>5.0</v>
      </c>
      <c r="F62" s="7">
        <v>0.2</v>
      </c>
      <c r="G62" s="7">
        <v>0.0</v>
      </c>
      <c r="H62" s="7">
        <v>0.4</v>
      </c>
      <c r="I62" s="7">
        <v>0.6</v>
      </c>
      <c r="J62" s="7">
        <v>0.6</v>
      </c>
      <c r="K62" s="7">
        <v>0.4</v>
      </c>
      <c r="L62" s="7">
        <v>0.8</v>
      </c>
      <c r="M62" s="7">
        <v>0.8</v>
      </c>
      <c r="N62" s="21">
        <f>F62+G62+H62+I62+J62+K62+L62+M62</f>
        <v>3.8</v>
      </c>
      <c r="O62" s="7">
        <v>0.4</v>
      </c>
      <c r="P62" s="7">
        <v>0.4</v>
      </c>
      <c r="Q62" s="7">
        <v>0.4</v>
      </c>
      <c r="R62" s="7">
        <v>0.5</v>
      </c>
      <c r="S62" s="7">
        <v>0.5</v>
      </c>
      <c r="T62" s="7">
        <v>0.0</v>
      </c>
      <c r="U62" s="7">
        <v>0.0</v>
      </c>
      <c r="V62" s="7">
        <v>0.6</v>
      </c>
      <c r="W62" s="7">
        <v>0.0</v>
      </c>
      <c r="X62" s="23">
        <f>O62+P62+Q62+U62+V62+W62</f>
        <v>1.8000000000000003</v>
      </c>
      <c r="Y62" s="5">
        <v>1.0</v>
      </c>
      <c r="Z62" s="7">
        <v>0.0</v>
      </c>
      <c r="AA62" s="7">
        <v>0.0</v>
      </c>
      <c r="AB62" s="7">
        <v>0.0</v>
      </c>
      <c r="AC62" s="7">
        <v>1.0</v>
      </c>
      <c r="AD62" s="7">
        <v>0.0</v>
      </c>
      <c r="AE62" s="7">
        <v>0.0</v>
      </c>
      <c r="AF62" s="7">
        <v>0.0</v>
      </c>
      <c r="AG62" s="7">
        <v>0.0</v>
      </c>
      <c r="AH62" s="18">
        <v>2.0</v>
      </c>
      <c r="AI62" s="7">
        <v>0.5</v>
      </c>
      <c r="AJ62" s="7">
        <v>0.5</v>
      </c>
      <c r="AK62" s="7">
        <v>0.0</v>
      </c>
      <c r="AL62" s="7">
        <v>0.5</v>
      </c>
      <c r="AM62" s="7">
        <v>0.5</v>
      </c>
      <c r="AN62" s="19">
        <v>2.0</v>
      </c>
    </row>
    <row r="63" spans="1:40" s="4" customFormat="1" ht="16.5">
      <c r="A63" s="4"/>
      <c r="B63" s="2" t="s">
        <v>74</v>
      </c>
      <c r="C63" s="2" t="s">
        <v>75</v>
      </c>
      <c r="D63" s="2" t="s">
        <v>126</v>
      </c>
      <c r="E63" s="11">
        <v>0.0</v>
      </c>
      <c r="F63" s="7"/>
      <c r="G63" s="7"/>
      <c r="H63" s="7"/>
      <c r="I63" s="7"/>
      <c r="J63" s="7"/>
      <c r="K63" s="7"/>
      <c r="L63" s="7"/>
      <c r="M63" s="7"/>
      <c r="N63" s="21">
        <f>F63+G63+H63+I63+J63+K63+L63+M63</f>
        <v>0.0</v>
      </c>
      <c r="O63" s="7">
        <v>1.0</v>
      </c>
      <c r="P63" s="7">
        <v>1.0</v>
      </c>
      <c r="Q63" s="7">
        <v>1.0</v>
      </c>
      <c r="R63" s="7">
        <v>0.5</v>
      </c>
      <c r="S63" s="7">
        <v>0.0</v>
      </c>
      <c r="T63" s="7">
        <v>0.5</v>
      </c>
      <c r="U63" s="7">
        <v>0.0</v>
      </c>
      <c r="V63" s="7">
        <v>0.5</v>
      </c>
      <c r="W63" s="7">
        <v>0.0</v>
      </c>
      <c r="X63" s="23">
        <f>O63+P63+Q63+U63+V63+W63</f>
        <v>3.5</v>
      </c>
      <c r="Y63" s="5">
        <v>0.0</v>
      </c>
      <c r="Z63" s="7"/>
      <c r="AA63" s="7"/>
      <c r="AB63" s="7"/>
      <c r="AC63" s="7"/>
      <c r="AD63" s="7"/>
      <c r="AE63" s="7"/>
      <c r="AF63" s="7"/>
      <c r="AG63" s="7"/>
      <c r="AH63" s="18"/>
      <c r="AI63" s="7"/>
      <c r="AJ63" s="7"/>
      <c r="AK63" s="7"/>
      <c r="AL63" s="7"/>
      <c r="AM63" s="7"/>
      <c r="AN63" s="19">
        <v>0.0</v>
      </c>
    </row>
    <row r="64" spans="1:40" s="4" customFormat="1" ht="16.5">
      <c r="A64" s="4"/>
      <c r="B64" s="2"/>
      <c r="C64" s="2"/>
      <c r="D64" s="2" t="s">
        <v>127</v>
      </c>
      <c r="E64" s="11">
        <v>0.0</v>
      </c>
      <c r="F64" s="7"/>
      <c r="G64" s="7"/>
      <c r="H64" s="7"/>
      <c r="I64" s="7"/>
      <c r="J64" s="7"/>
      <c r="K64" s="7"/>
      <c r="L64" s="7"/>
      <c r="M64" s="7"/>
      <c r="N64" s="21">
        <f>F64+G64+H64+I64+J64+K64+L64+M64</f>
        <v>0.0</v>
      </c>
      <c r="O64" s="7"/>
      <c r="P64" s="7"/>
      <c r="Q64" s="7"/>
      <c r="R64" s="7"/>
      <c r="S64" s="7"/>
      <c r="T64" s="7"/>
      <c r="U64" s="7"/>
      <c r="V64" s="7"/>
      <c r="W64" s="7"/>
      <c r="X64" s="23">
        <f>O64+P64+Q64+U64+V64+W64</f>
        <v>0.0</v>
      </c>
      <c r="Y64" s="5">
        <v>0.0</v>
      </c>
      <c r="Z64" s="7"/>
      <c r="AA64" s="7"/>
      <c r="AB64" s="7"/>
      <c r="AC64" s="7"/>
      <c r="AD64" s="7"/>
      <c r="AE64" s="7"/>
      <c r="AF64" s="7"/>
      <c r="AG64" s="7"/>
      <c r="AH64" s="18">
        <v>1.0</v>
      </c>
      <c r="AI64" s="7">
        <v>0.0</v>
      </c>
      <c r="AJ64" s="7">
        <v>1.0</v>
      </c>
      <c r="AK64" s="7">
        <v>0.0</v>
      </c>
      <c r="AL64" s="7">
        <v>0.0</v>
      </c>
      <c r="AM64" s="7">
        <v>0.0</v>
      </c>
      <c r="AN64" s="19">
        <v>1.0</v>
      </c>
    </row>
    <row r="65" spans="1:40" s="4" customFormat="1" ht="16.5">
      <c r="A65" s="4"/>
      <c r="B65" s="2"/>
      <c r="C65" s="2"/>
      <c r="D65" s="2" t="s">
        <v>128</v>
      </c>
      <c r="E65" s="11">
        <v>2.0</v>
      </c>
      <c r="F65" s="7">
        <v>0.0</v>
      </c>
      <c r="G65" s="7">
        <v>0.5</v>
      </c>
      <c r="H65" s="7">
        <v>1.0</v>
      </c>
      <c r="I65" s="7">
        <v>1.0</v>
      </c>
      <c r="J65" s="7">
        <v>1.0</v>
      </c>
      <c r="K65" s="7">
        <v>0.0</v>
      </c>
      <c r="L65" s="7">
        <v>0.5</v>
      </c>
      <c r="M65" s="7">
        <v>0.5</v>
      </c>
      <c r="N65" s="21">
        <f>F65+G65+H65+I65+J65+K65+L65+M65</f>
        <v>4.5</v>
      </c>
      <c r="O65" s="7">
        <v>1.0</v>
      </c>
      <c r="P65" s="7">
        <v>1.0</v>
      </c>
      <c r="Q65" s="7">
        <v>1.0</v>
      </c>
      <c r="R65" s="7">
        <v>0.0</v>
      </c>
      <c r="S65" s="7">
        <v>1.0</v>
      </c>
      <c r="T65" s="7">
        <v>0.0</v>
      </c>
      <c r="U65" s="7">
        <v>1.0</v>
      </c>
      <c r="V65" s="7">
        <v>1.0</v>
      </c>
      <c r="W65" s="7">
        <v>1.0</v>
      </c>
      <c r="X65" s="23">
        <f>O65+P65+Q65+U65+V65+W65</f>
        <v>6.0</v>
      </c>
      <c r="Y65" s="5">
        <v>0.0</v>
      </c>
      <c r="Z65" s="7"/>
      <c r="AA65" s="7"/>
      <c r="AB65" s="7"/>
      <c r="AC65" s="7"/>
      <c r="AD65" s="7"/>
      <c r="AE65" s="7"/>
      <c r="AF65" s="7"/>
      <c r="AG65" s="7"/>
      <c r="AH65" s="18"/>
      <c r="AI65" s="7"/>
      <c r="AJ65" s="7"/>
      <c r="AK65" s="7"/>
      <c r="AL65" s="7"/>
      <c r="AM65" s="7"/>
      <c r="AN65" s="19">
        <v>0.0</v>
      </c>
    </row>
    <row r="66" spans="1:40" s="4" customFormat="1" ht="16.5">
      <c r="A66" s="4"/>
      <c r="B66" s="2"/>
      <c r="C66" s="2"/>
      <c r="D66" s="2" t="s">
        <v>129</v>
      </c>
      <c r="E66" s="11">
        <v>0.0</v>
      </c>
      <c r="F66" s="7"/>
      <c r="G66" s="7"/>
      <c r="H66" s="7"/>
      <c r="I66" s="7"/>
      <c r="J66" s="7"/>
      <c r="K66" s="7"/>
      <c r="L66" s="7"/>
      <c r="M66" s="7"/>
      <c r="N66" s="21">
        <f>F66+G66+H66+I66+J66+K66+L66+M66</f>
        <v>0.0</v>
      </c>
      <c r="O66" s="7"/>
      <c r="P66" s="7"/>
      <c r="Q66" s="7"/>
      <c r="R66" s="7"/>
      <c r="S66" s="7"/>
      <c r="T66" s="7"/>
      <c r="U66" s="7"/>
      <c r="V66" s="7"/>
      <c r="W66" s="7"/>
      <c r="X66" s="23">
        <f>O66+P66+Q66+U66+V66+W66</f>
        <v>0.0</v>
      </c>
      <c r="Y66" s="5">
        <v>0.0</v>
      </c>
      <c r="Z66" s="7"/>
      <c r="AA66" s="7"/>
      <c r="AB66" s="7"/>
      <c r="AC66" s="7"/>
      <c r="AD66" s="7"/>
      <c r="AE66" s="7"/>
      <c r="AF66" s="7"/>
      <c r="AG66" s="7"/>
      <c r="AH66" s="18"/>
      <c r="AI66" s="7"/>
      <c r="AJ66" s="7"/>
      <c r="AK66" s="7"/>
      <c r="AL66" s="7"/>
      <c r="AM66" s="7"/>
      <c r="AN66" s="19">
        <v>0.0</v>
      </c>
    </row>
    <row r="67" spans="1:40" s="4" customFormat="1" ht="16.5">
      <c r="A67" s="4"/>
      <c r="B67" s="2"/>
      <c r="C67" s="2"/>
      <c r="D67" s="2" t="s">
        <v>130</v>
      </c>
      <c r="E67" s="11">
        <v>1.0</v>
      </c>
      <c r="F67" s="7">
        <v>1.0</v>
      </c>
      <c r="G67" s="7">
        <v>0.0</v>
      </c>
      <c r="H67" s="7">
        <v>1.0</v>
      </c>
      <c r="I67" s="7">
        <v>1.0</v>
      </c>
      <c r="J67" s="7">
        <v>1.0</v>
      </c>
      <c r="K67" s="7">
        <v>1.0</v>
      </c>
      <c r="L67" s="7">
        <v>1.0</v>
      </c>
      <c r="M67" s="7">
        <v>1.0</v>
      </c>
      <c r="N67" s="21">
        <f>F67+G67+H67+I67+J67+K67+L67+M67</f>
        <v>7.0</v>
      </c>
      <c r="O67" s="7">
        <v>0.0</v>
      </c>
      <c r="P67" s="7">
        <v>0.0</v>
      </c>
      <c r="Q67" s="7">
        <v>0.0</v>
      </c>
      <c r="R67" s="7"/>
      <c r="S67" s="7"/>
      <c r="T67" s="7"/>
      <c r="U67" s="7">
        <v>1.0</v>
      </c>
      <c r="V67" s="7">
        <v>1.0</v>
      </c>
      <c r="W67" s="7">
        <v>0.0</v>
      </c>
      <c r="X67" s="23">
        <f>O67+P67+Q67+U67+V67+W67</f>
        <v>2.0</v>
      </c>
      <c r="Y67" s="5">
        <v>1.0</v>
      </c>
      <c r="Z67" s="7">
        <v>1.0</v>
      </c>
      <c r="AA67" s="7">
        <v>0.0</v>
      </c>
      <c r="AB67" s="7">
        <v>0.0</v>
      </c>
      <c r="AC67" s="7">
        <v>0.0</v>
      </c>
      <c r="AD67" s="7">
        <v>0.0</v>
      </c>
      <c r="AE67" s="7">
        <v>0.0</v>
      </c>
      <c r="AF67" s="7">
        <v>0.0</v>
      </c>
      <c r="AG67" s="7">
        <v>0.0</v>
      </c>
      <c r="AH67" s="18"/>
      <c r="AI67" s="7"/>
      <c r="AJ67" s="7"/>
      <c r="AK67" s="7"/>
      <c r="AL67" s="7"/>
      <c r="AM67" s="7"/>
      <c r="AN67" s="19">
        <v>0.0</v>
      </c>
    </row>
    <row r="68" spans="1:40" s="4" customFormat="1" ht="16.5">
      <c r="A68" s="4"/>
      <c r="B68" s="2"/>
      <c r="C68" s="2"/>
      <c r="D68" s="2" t="s">
        <v>131</v>
      </c>
      <c r="E68" s="11">
        <v>1.0</v>
      </c>
      <c r="F68" s="7">
        <v>0.0</v>
      </c>
      <c r="G68" s="7">
        <v>0.0</v>
      </c>
      <c r="H68" s="7">
        <v>0.0</v>
      </c>
      <c r="I68" s="7">
        <v>0.0</v>
      </c>
      <c r="J68" s="7">
        <v>0.0</v>
      </c>
      <c r="K68" s="7">
        <v>0.0</v>
      </c>
      <c r="L68" s="7">
        <v>1.0</v>
      </c>
      <c r="M68" s="7">
        <v>1.0</v>
      </c>
      <c r="N68" s="21">
        <f>F68+G68+H68+I68+J68+K68+L68+M68</f>
        <v>2.0</v>
      </c>
      <c r="O68" s="7">
        <v>0.0</v>
      </c>
      <c r="P68" s="7">
        <v>0.5</v>
      </c>
      <c r="Q68" s="7">
        <v>1.0</v>
      </c>
      <c r="R68" s="7">
        <v>0.5</v>
      </c>
      <c r="S68" s="7">
        <v>0.5</v>
      </c>
      <c r="T68" s="7">
        <v>0.0</v>
      </c>
      <c r="U68" s="7">
        <v>0.0</v>
      </c>
      <c r="V68" s="7">
        <v>0.0</v>
      </c>
      <c r="W68" s="7">
        <v>0.0</v>
      </c>
      <c r="X68" s="23">
        <f>O68+P68+Q68+U68+V68+W68</f>
        <v>1.5</v>
      </c>
      <c r="Y68" s="5">
        <v>1.0</v>
      </c>
      <c r="Z68" s="7">
        <v>0.0</v>
      </c>
      <c r="AA68" s="7">
        <v>0.0</v>
      </c>
      <c r="AB68" s="7">
        <v>0.0</v>
      </c>
      <c r="AC68" s="7">
        <v>0.0</v>
      </c>
      <c r="AD68" s="7">
        <v>1.0</v>
      </c>
      <c r="AE68" s="7">
        <v>0.0</v>
      </c>
      <c r="AF68" s="7">
        <v>0.0</v>
      </c>
      <c r="AG68" s="7">
        <v>1.0</v>
      </c>
      <c r="AH68" s="18">
        <v>2.0</v>
      </c>
      <c r="AI68" s="7">
        <v>0.0</v>
      </c>
      <c r="AJ68" s="7">
        <v>1.0</v>
      </c>
      <c r="AK68" s="7">
        <v>0.0</v>
      </c>
      <c r="AL68" s="7">
        <v>0.5</v>
      </c>
      <c r="AM68" s="7">
        <v>0.0</v>
      </c>
      <c r="AN68" s="19">
        <v>1.5</v>
      </c>
    </row>
    <row r="69" spans="1:40" s="4" customFormat="1" ht="16.5">
      <c r="A69" s="4"/>
      <c r="B69" s="2"/>
      <c r="C69" s="2"/>
      <c r="D69" s="2" t="s">
        <v>132</v>
      </c>
      <c r="E69" s="11">
        <v>4.0</v>
      </c>
      <c r="F69" s="7">
        <v>0.0</v>
      </c>
      <c r="G69" s="7">
        <v>0.25</v>
      </c>
      <c r="H69" s="7">
        <v>1.0</v>
      </c>
      <c r="I69" s="7">
        <v>1.0</v>
      </c>
      <c r="J69" s="7">
        <v>1.0</v>
      </c>
      <c r="K69" s="7">
        <v>0.0</v>
      </c>
      <c r="L69" s="7">
        <v>0.5</v>
      </c>
      <c r="M69" s="7">
        <v>1.0</v>
      </c>
      <c r="N69" s="21">
        <f>F69+G69+H69+I69+J69+K69+L69+M69</f>
        <v>4.75</v>
      </c>
      <c r="O69" s="7">
        <v>0.5</v>
      </c>
      <c r="P69" s="7">
        <v>0.5</v>
      </c>
      <c r="Q69" s="7">
        <v>0.5</v>
      </c>
      <c r="R69" s="7">
        <v>0.0</v>
      </c>
      <c r="S69" s="7">
        <v>1.0</v>
      </c>
      <c r="T69" s="7">
        <v>0.0</v>
      </c>
      <c r="U69" s="7">
        <v>1.0</v>
      </c>
      <c r="V69" s="7">
        <v>1.0</v>
      </c>
      <c r="W69" s="7">
        <v>0.5</v>
      </c>
      <c r="X69" s="23">
        <f>O69+P69+Q69+U69+V69+W69</f>
        <v>4.0</v>
      </c>
      <c r="Y69" s="5">
        <v>1.0</v>
      </c>
      <c r="Z69" s="7">
        <v>0.0</v>
      </c>
      <c r="AA69" s="7">
        <v>0.0</v>
      </c>
      <c r="AB69" s="7">
        <v>0.0</v>
      </c>
      <c r="AC69" s="7">
        <v>0.0</v>
      </c>
      <c r="AD69" s="7">
        <v>0.0</v>
      </c>
      <c r="AE69" s="7">
        <v>0.0</v>
      </c>
      <c r="AF69" s="7">
        <v>0.0</v>
      </c>
      <c r="AG69" s="7">
        <v>0.0</v>
      </c>
      <c r="AH69" s="18">
        <v>1.0</v>
      </c>
      <c r="AI69" s="7">
        <v>0.0</v>
      </c>
      <c r="AJ69" s="7">
        <v>1.0</v>
      </c>
      <c r="AK69" s="7">
        <v>0.0</v>
      </c>
      <c r="AL69" s="7">
        <v>1.0</v>
      </c>
      <c r="AM69" s="7">
        <v>0.0</v>
      </c>
      <c r="AN69" s="19">
        <v>2.0</v>
      </c>
    </row>
    <row r="70" spans="1:40" s="4" customFormat="1" ht="16.5">
      <c r="A70" s="4"/>
      <c r="B70" s="2"/>
      <c r="C70" s="2"/>
      <c r="D70" s="2" t="s">
        <v>133</v>
      </c>
      <c r="E70" s="11">
        <v>2.0</v>
      </c>
      <c r="F70" s="7">
        <v>0.5</v>
      </c>
      <c r="G70" s="7">
        <v>0.0</v>
      </c>
      <c r="H70" s="7">
        <v>1.0</v>
      </c>
      <c r="I70" s="7">
        <v>1.0</v>
      </c>
      <c r="J70" s="7">
        <v>1.0</v>
      </c>
      <c r="K70" s="7">
        <v>0.0</v>
      </c>
      <c r="L70" s="7">
        <v>0.5</v>
      </c>
      <c r="M70" s="7">
        <v>0.5</v>
      </c>
      <c r="N70" s="21">
        <f>F70+G70+H70+I70+J70+K70+L70+M70</f>
        <v>4.5</v>
      </c>
      <c r="O70" s="7"/>
      <c r="P70" s="7"/>
      <c r="Q70" s="7"/>
      <c r="R70" s="7"/>
      <c r="S70" s="7"/>
      <c r="T70" s="7"/>
      <c r="U70" s="7"/>
      <c r="V70" s="7"/>
      <c r="W70" s="7"/>
      <c r="X70" s="23">
        <f>O70+P70+Q70+U70+V70+W70</f>
        <v>0.0</v>
      </c>
      <c r="Y70" s="5">
        <v>2.0</v>
      </c>
      <c r="Z70" s="7">
        <v>1.0</v>
      </c>
      <c r="AA70" s="7">
        <v>0.0</v>
      </c>
      <c r="AB70" s="7">
        <v>0.0</v>
      </c>
      <c r="AC70" s="7">
        <v>0.0</v>
      </c>
      <c r="AD70" s="7">
        <v>0.0</v>
      </c>
      <c r="AE70" s="7">
        <v>0.5</v>
      </c>
      <c r="AF70" s="7">
        <v>0.0</v>
      </c>
      <c r="AG70" s="7">
        <v>0.0</v>
      </c>
      <c r="AH70" s="18">
        <v>4.0</v>
      </c>
      <c r="AI70" s="7">
        <v>0.75</v>
      </c>
      <c r="AJ70" s="7">
        <v>0.25</v>
      </c>
      <c r="AK70" s="7">
        <v>0.5</v>
      </c>
      <c r="AL70" s="7">
        <v>0.0</v>
      </c>
      <c r="AM70" s="7">
        <v>0.0</v>
      </c>
      <c r="AN70" s="19">
        <v>1.0</v>
      </c>
    </row>
    <row r="71" spans="1:40" s="4" customFormat="1" ht="16.5">
      <c r="A71" s="4"/>
      <c r="B71" s="2"/>
      <c r="C71" s="2"/>
      <c r="D71" s="2" t="s">
        <v>134</v>
      </c>
      <c r="E71" s="11">
        <v>2.0</v>
      </c>
      <c r="F71" s="7">
        <v>0.5</v>
      </c>
      <c r="G71" s="7">
        <v>0.0</v>
      </c>
      <c r="H71" s="7">
        <v>1.0</v>
      </c>
      <c r="I71" s="7">
        <v>1.0</v>
      </c>
      <c r="J71" s="7">
        <v>1.0</v>
      </c>
      <c r="K71" s="7">
        <v>0.0</v>
      </c>
      <c r="L71" s="7">
        <v>1.0</v>
      </c>
      <c r="M71" s="7">
        <v>1.0</v>
      </c>
      <c r="N71" s="21">
        <f>F71+G71+H71+I71+J71+K71+L71+M71</f>
        <v>5.5</v>
      </c>
      <c r="O71" s="7">
        <v>1.0</v>
      </c>
      <c r="P71" s="7">
        <v>0.0</v>
      </c>
      <c r="Q71" s="7">
        <v>0.0</v>
      </c>
      <c r="R71" s="7"/>
      <c r="S71" s="7"/>
      <c r="T71" s="7"/>
      <c r="U71" s="7">
        <v>0.0</v>
      </c>
      <c r="V71" s="7">
        <v>0.0</v>
      </c>
      <c r="W71" s="7">
        <v>0.0</v>
      </c>
      <c r="X71" s="23">
        <f>O71+P71+Q71+U71+V71+W71</f>
        <v>1.0</v>
      </c>
      <c r="Y71" s="5">
        <v>4.0</v>
      </c>
      <c r="Z71" s="7">
        <v>0.25</v>
      </c>
      <c r="AA71" s="7">
        <v>0.75</v>
      </c>
      <c r="AB71" s="7">
        <v>0.0</v>
      </c>
      <c r="AC71" s="7">
        <v>0.0</v>
      </c>
      <c r="AD71" s="7">
        <v>0.0</v>
      </c>
      <c r="AE71" s="7">
        <v>0.0</v>
      </c>
      <c r="AF71" s="7">
        <v>0.0</v>
      </c>
      <c r="AG71" s="7">
        <v>0.5</v>
      </c>
      <c r="AH71" s="18">
        <v>1.0</v>
      </c>
      <c r="AI71" s="7">
        <v>0.0</v>
      </c>
      <c r="AJ71" s="7">
        <v>0.0</v>
      </c>
      <c r="AK71" s="7">
        <v>0.0</v>
      </c>
      <c r="AL71" s="7">
        <v>0.0</v>
      </c>
      <c r="AM71" s="7">
        <v>0.0</v>
      </c>
      <c r="AN71" s="19">
        <v>0.0</v>
      </c>
    </row>
    <row r="72" spans="1:40" s="4" customFormat="1" ht="16.5">
      <c r="A72" s="4"/>
      <c r="B72" s="2"/>
      <c r="C72" s="2"/>
      <c r="D72" s="2" t="s">
        <v>135</v>
      </c>
      <c r="E72" s="11">
        <v>2.0</v>
      </c>
      <c r="F72" s="7">
        <v>0.0</v>
      </c>
      <c r="G72" s="7">
        <v>0.5</v>
      </c>
      <c r="H72" s="7">
        <v>1.0</v>
      </c>
      <c r="I72" s="7">
        <v>1.0</v>
      </c>
      <c r="J72" s="7">
        <v>1.0</v>
      </c>
      <c r="K72" s="7">
        <v>0.0</v>
      </c>
      <c r="L72" s="7">
        <v>1.0</v>
      </c>
      <c r="M72" s="7">
        <v>1.0</v>
      </c>
      <c r="N72" s="21">
        <f>F72+G72+H72+I72+J72+K72+L72+M72</f>
        <v>5.5</v>
      </c>
      <c r="O72" s="7"/>
      <c r="P72" s="7"/>
      <c r="Q72" s="7"/>
      <c r="R72" s="7"/>
      <c r="S72" s="7"/>
      <c r="T72" s="7"/>
      <c r="U72" s="7"/>
      <c r="V72" s="7"/>
      <c r="W72" s="7"/>
      <c r="X72" s="23">
        <f>O72+P72+Q72+U72+V72+W72</f>
        <v>0.0</v>
      </c>
      <c r="Y72" s="5">
        <v>1.0</v>
      </c>
      <c r="Z72" s="7">
        <v>1.0</v>
      </c>
      <c r="AA72" s="7">
        <v>0.0</v>
      </c>
      <c r="AB72" s="7">
        <v>0.0</v>
      </c>
      <c r="AC72" s="7">
        <v>0.0</v>
      </c>
      <c r="AD72" s="7">
        <v>0.0</v>
      </c>
      <c r="AE72" s="7">
        <v>0.0</v>
      </c>
      <c r="AF72" s="7">
        <v>0.0</v>
      </c>
      <c r="AG72" s="7">
        <v>0.0</v>
      </c>
      <c r="AH72" s="18"/>
      <c r="AI72" s="7"/>
      <c r="AJ72" s="7"/>
      <c r="AK72" s="7"/>
      <c r="AL72" s="7"/>
      <c r="AM72" s="7"/>
      <c r="AN72" s="19">
        <v>0.0</v>
      </c>
    </row>
    <row r="73" spans="1:40" s="4" customFormat="1" ht="16.5">
      <c r="A73" s="4"/>
      <c r="B73" s="2"/>
      <c r="C73" s="2"/>
      <c r="D73" s="2" t="s">
        <v>136</v>
      </c>
      <c r="E73" s="11">
        <v>0.0</v>
      </c>
      <c r="F73" s="7"/>
      <c r="G73" s="7"/>
      <c r="H73" s="7"/>
      <c r="I73" s="7"/>
      <c r="J73" s="7"/>
      <c r="K73" s="7"/>
      <c r="L73" s="7"/>
      <c r="M73" s="7"/>
      <c r="N73" s="21">
        <f>F73+G73+H73+I73+J73+K73+L73+M73</f>
        <v>0.0</v>
      </c>
      <c r="O73" s="7"/>
      <c r="P73" s="7"/>
      <c r="Q73" s="7"/>
      <c r="R73" s="7"/>
      <c r="S73" s="7"/>
      <c r="T73" s="7"/>
      <c r="U73" s="7"/>
      <c r="V73" s="7"/>
      <c r="W73" s="7"/>
      <c r="X73" s="23">
        <f>O73+P73+Q73+U73+V73+W73</f>
        <v>0.0</v>
      </c>
      <c r="Y73" s="5">
        <v>1.0</v>
      </c>
      <c r="Z73" s="7">
        <v>1.0</v>
      </c>
      <c r="AA73" s="7">
        <v>0.0</v>
      </c>
      <c r="AB73" s="7">
        <v>0.0</v>
      </c>
      <c r="AC73" s="7">
        <v>0.0</v>
      </c>
      <c r="AD73" s="7">
        <v>0.0</v>
      </c>
      <c r="AE73" s="7">
        <v>0.0</v>
      </c>
      <c r="AF73" s="7">
        <v>0.0</v>
      </c>
      <c r="AG73" s="7">
        <v>0.0</v>
      </c>
      <c r="AH73" s="18">
        <v>1.0</v>
      </c>
      <c r="AI73" s="7">
        <v>0.0</v>
      </c>
      <c r="AJ73" s="7">
        <v>0.0</v>
      </c>
      <c r="AK73" s="7">
        <v>0.0</v>
      </c>
      <c r="AL73" s="7">
        <v>0.0</v>
      </c>
      <c r="AM73" s="7">
        <v>1.0</v>
      </c>
      <c r="AN73" s="19">
        <v>1.0</v>
      </c>
    </row>
    <row r="74" spans="1:40" s="4" customFormat="1" ht="16.5">
      <c r="A74" s="4"/>
      <c r="B74" s="2"/>
      <c r="C74" s="2"/>
      <c r="D74" s="2" t="s">
        <v>137</v>
      </c>
      <c r="E74" s="11">
        <v>2.0</v>
      </c>
      <c r="F74" s="7">
        <v>0.5</v>
      </c>
      <c r="G74" s="7">
        <v>0.0</v>
      </c>
      <c r="H74" s="7">
        <v>0.5</v>
      </c>
      <c r="I74" s="7">
        <v>0.5</v>
      </c>
      <c r="J74" s="7">
        <v>0.5</v>
      </c>
      <c r="K74" s="7">
        <v>0.0</v>
      </c>
      <c r="L74" s="7">
        <v>0.0</v>
      </c>
      <c r="M74" s="7">
        <v>0.5</v>
      </c>
      <c r="N74" s="21">
        <f>F74+G74+H74+I74+J74+K74+L74+M74</f>
        <v>2.5</v>
      </c>
      <c r="O74" s="7">
        <v>0.5</v>
      </c>
      <c r="P74" s="7">
        <v>0.0</v>
      </c>
      <c r="Q74" s="7">
        <v>0.5</v>
      </c>
      <c r="R74" s="7">
        <v>1.0</v>
      </c>
      <c r="S74" s="7">
        <v>0.0</v>
      </c>
      <c r="T74" s="7">
        <v>0.0</v>
      </c>
      <c r="U74" s="7">
        <v>0.0</v>
      </c>
      <c r="V74" s="7">
        <v>0.0</v>
      </c>
      <c r="W74" s="7">
        <v>0.0</v>
      </c>
      <c r="X74" s="23">
        <f>O74+P74+Q74+U74+V74+W74</f>
        <v>1.0</v>
      </c>
      <c r="Y74" s="5">
        <v>1.0</v>
      </c>
      <c r="Z74" s="7">
        <v>0.0</v>
      </c>
      <c r="AA74" s="7">
        <v>1.0</v>
      </c>
      <c r="AB74" s="7">
        <v>0.0</v>
      </c>
      <c r="AC74" s="7">
        <v>0.0</v>
      </c>
      <c r="AD74" s="7">
        <v>0.0</v>
      </c>
      <c r="AE74" s="7">
        <v>0.0</v>
      </c>
      <c r="AF74" s="7">
        <v>0.0</v>
      </c>
      <c r="AG74" s="7">
        <v>0.0</v>
      </c>
      <c r="AH74" s="18">
        <v>1.0</v>
      </c>
      <c r="AI74" s="7">
        <v>1.0</v>
      </c>
      <c r="AJ74" s="7">
        <v>0.0</v>
      </c>
      <c r="AK74" s="7">
        <v>0.0</v>
      </c>
      <c r="AL74" s="7">
        <v>0.0</v>
      </c>
      <c r="AM74" s="7">
        <v>1.0</v>
      </c>
      <c r="AN74" s="19">
        <v>2.0</v>
      </c>
    </row>
    <row r="75" spans="1:40" s="4" customFormat="1" ht="16.5">
      <c r="A75" s="4"/>
      <c r="B75" s="2" t="s">
        <v>76</v>
      </c>
      <c r="C75" s="2" t="s">
        <v>77</v>
      </c>
      <c r="D75" s="2" t="s">
        <v>138</v>
      </c>
      <c r="E75" s="11">
        <v>1.0</v>
      </c>
      <c r="F75" s="7">
        <v>1.0</v>
      </c>
      <c r="G75" s="7">
        <v>1.0</v>
      </c>
      <c r="H75" s="7">
        <v>1.0</v>
      </c>
      <c r="I75" s="7">
        <v>1.0</v>
      </c>
      <c r="J75" s="7">
        <v>1.0</v>
      </c>
      <c r="K75" s="7">
        <v>0.0</v>
      </c>
      <c r="L75" s="7">
        <v>1.0</v>
      </c>
      <c r="M75" s="7">
        <v>0.0</v>
      </c>
      <c r="N75" s="21">
        <f>F75+G75+H75+I75+J75+K75+L75+M75</f>
        <v>6.0</v>
      </c>
      <c r="O75" s="7">
        <v>0.5</v>
      </c>
      <c r="P75" s="7">
        <v>0.0</v>
      </c>
      <c r="Q75" s="7">
        <v>0.5</v>
      </c>
      <c r="R75" s="7">
        <v>0.0</v>
      </c>
      <c r="S75" s="7">
        <v>0.0</v>
      </c>
      <c r="T75" s="7">
        <v>1.0</v>
      </c>
      <c r="U75" s="7">
        <v>0.0</v>
      </c>
      <c r="V75" s="7">
        <v>0.5</v>
      </c>
      <c r="W75" s="7">
        <v>0.5</v>
      </c>
      <c r="X75" s="23">
        <f>O75+P75+Q75+U75+V75+W75</f>
        <v>2.0</v>
      </c>
      <c r="Y75" s="5">
        <v>0.0</v>
      </c>
      <c r="Z75" s="7"/>
      <c r="AA75" s="7"/>
      <c r="AB75" s="7"/>
      <c r="AC75" s="7"/>
      <c r="AD75" s="7"/>
      <c r="AE75" s="7"/>
      <c r="AF75" s="7"/>
      <c r="AG75" s="7"/>
      <c r="AH75" s="18">
        <v>1.0</v>
      </c>
      <c r="AI75" s="7">
        <v>1.0</v>
      </c>
      <c r="AJ75" s="7">
        <v>1.0</v>
      </c>
      <c r="AK75" s="7">
        <v>0.0</v>
      </c>
      <c r="AL75" s="7">
        <v>0.0</v>
      </c>
      <c r="AM75" s="7">
        <v>0.0</v>
      </c>
      <c r="AN75" s="19">
        <v>2.0</v>
      </c>
    </row>
    <row r="76" spans="1:40" s="4" customFormat="1" ht="16.5">
      <c r="A76" s="4"/>
      <c r="B76" s="2"/>
      <c r="C76" s="2"/>
      <c r="D76" s="2" t="s">
        <v>139</v>
      </c>
      <c r="E76" s="11">
        <v>1.0</v>
      </c>
      <c r="F76" s="7">
        <v>0.0</v>
      </c>
      <c r="G76" s="7">
        <v>0.0</v>
      </c>
      <c r="H76" s="7">
        <v>1.0</v>
      </c>
      <c r="I76" s="7">
        <v>1.0</v>
      </c>
      <c r="J76" s="7">
        <v>1.0</v>
      </c>
      <c r="K76" s="7">
        <v>0.0</v>
      </c>
      <c r="L76" s="7">
        <v>1.0</v>
      </c>
      <c r="M76" s="7">
        <v>1.0</v>
      </c>
      <c r="N76" s="21">
        <f>F76+G76+H76+I76+J76+K76+L76+M76</f>
        <v>5.0</v>
      </c>
      <c r="O76" s="7"/>
      <c r="P76" s="7"/>
      <c r="Q76" s="7"/>
      <c r="R76" s="7"/>
      <c r="S76" s="7"/>
      <c r="T76" s="7"/>
      <c r="U76" s="7"/>
      <c r="V76" s="7"/>
      <c r="W76" s="7"/>
      <c r="X76" s="23">
        <f>O76+P76+Q76+U76+V76+W76</f>
        <v>0.0</v>
      </c>
      <c r="Y76" s="5">
        <v>1.0</v>
      </c>
      <c r="Z76" s="7">
        <v>1.0</v>
      </c>
      <c r="AA76" s="7">
        <v>0.0</v>
      </c>
      <c r="AB76" s="7">
        <v>0.0</v>
      </c>
      <c r="AC76" s="7">
        <v>0.0</v>
      </c>
      <c r="AD76" s="7">
        <v>0.0</v>
      </c>
      <c r="AE76" s="7">
        <v>0.0</v>
      </c>
      <c r="AF76" s="7">
        <v>0.0</v>
      </c>
      <c r="AG76" s="7">
        <v>0.0</v>
      </c>
      <c r="AH76" s="18"/>
      <c r="AI76" s="7"/>
      <c r="AJ76" s="7"/>
      <c r="AK76" s="7"/>
      <c r="AL76" s="7"/>
      <c r="AM76" s="7"/>
      <c r="AN76" s="19">
        <v>0.0</v>
      </c>
    </row>
    <row r="77" spans="1:40" s="4" customFormat="1" ht="16.5">
      <c r="A77" s="4"/>
      <c r="B77" s="2"/>
      <c r="C77" s="2"/>
      <c r="D77" s="2" t="s">
        <v>140</v>
      </c>
      <c r="E77" s="11">
        <v>0.0</v>
      </c>
      <c r="F77" s="7"/>
      <c r="G77" s="7"/>
      <c r="H77" s="7"/>
      <c r="I77" s="7"/>
      <c r="J77" s="7"/>
      <c r="K77" s="7"/>
      <c r="L77" s="7"/>
      <c r="M77" s="7"/>
      <c r="N77" s="21">
        <f>F77+G77+H77+I77+J77+K77+L77+M77</f>
        <v>0.0</v>
      </c>
      <c r="O77" s="7"/>
      <c r="P77" s="7"/>
      <c r="Q77" s="7"/>
      <c r="R77" s="7"/>
      <c r="S77" s="7"/>
      <c r="T77" s="7"/>
      <c r="U77" s="7"/>
      <c r="V77" s="7"/>
      <c r="W77" s="7"/>
      <c r="X77" s="23">
        <f>O77+P77+Q77+U77+V77+W77</f>
        <v>0.0</v>
      </c>
      <c r="Y77" s="5">
        <v>1.0</v>
      </c>
      <c r="Z77" s="7">
        <v>1.0</v>
      </c>
      <c r="AA77" s="7">
        <v>0.0</v>
      </c>
      <c r="AB77" s="7">
        <v>0.0</v>
      </c>
      <c r="AC77" s="7">
        <v>0.0</v>
      </c>
      <c r="AD77" s="7">
        <v>0.0</v>
      </c>
      <c r="AE77" s="7">
        <v>0.0</v>
      </c>
      <c r="AF77" s="7">
        <v>1.0</v>
      </c>
      <c r="AG77" s="7">
        <v>1.0</v>
      </c>
      <c r="AH77" s="18"/>
      <c r="AI77" s="7"/>
      <c r="AJ77" s="7"/>
      <c r="AK77" s="7"/>
      <c r="AL77" s="7"/>
      <c r="AM77" s="7"/>
      <c r="AN77" s="19">
        <v>0.0</v>
      </c>
    </row>
    <row r="78" spans="1:40" s="4" customFormat="1" ht="16.5">
      <c r="A78" s="4"/>
      <c r="B78" s="2"/>
      <c r="C78" s="2"/>
      <c r="D78" s="2" t="s">
        <v>141</v>
      </c>
      <c r="E78" s="11">
        <v>2.0</v>
      </c>
      <c r="F78" s="7">
        <v>0.0</v>
      </c>
      <c r="G78" s="7">
        <v>0.5</v>
      </c>
      <c r="H78" s="7">
        <v>1.0</v>
      </c>
      <c r="I78" s="7">
        <v>0.5</v>
      </c>
      <c r="J78" s="7">
        <v>0.0</v>
      </c>
      <c r="K78" s="7">
        <v>1.0</v>
      </c>
      <c r="L78" s="7">
        <v>1.0</v>
      </c>
      <c r="M78" s="7">
        <v>0.5</v>
      </c>
      <c r="N78" s="21">
        <f>F78+G78+H78+I78+J78+K78+L78+M78</f>
        <v>4.5</v>
      </c>
      <c r="O78" s="7"/>
      <c r="P78" s="7"/>
      <c r="Q78" s="7"/>
      <c r="R78" s="7"/>
      <c r="S78" s="7"/>
      <c r="T78" s="7"/>
      <c r="U78" s="7"/>
      <c r="V78" s="7"/>
      <c r="W78" s="7"/>
      <c r="X78" s="23">
        <f>O78+P78+Q78+U78+V78+W78</f>
        <v>0.0</v>
      </c>
      <c r="Y78" s="5">
        <v>0.0</v>
      </c>
      <c r="Z78" s="7"/>
      <c r="AA78" s="7"/>
      <c r="AB78" s="7"/>
      <c r="AC78" s="7"/>
      <c r="AD78" s="7"/>
      <c r="AE78" s="7"/>
      <c r="AF78" s="7"/>
      <c r="AG78" s="7"/>
      <c r="AH78" s="18"/>
      <c r="AI78" s="7"/>
      <c r="AJ78" s="7"/>
      <c r="AK78" s="7"/>
      <c r="AL78" s="7"/>
      <c r="AM78" s="7"/>
      <c r="AN78" s="19">
        <v>0.0</v>
      </c>
    </row>
    <row r="79" spans="1:40" s="4" customFormat="1" ht="16.5">
      <c r="A79" s="4"/>
      <c r="B79" s="2"/>
      <c r="C79" s="2"/>
      <c r="D79" s="2" t="s">
        <v>142</v>
      </c>
      <c r="E79" s="11">
        <v>0.0</v>
      </c>
      <c r="F79" s="7"/>
      <c r="G79" s="7"/>
      <c r="H79" s="7"/>
      <c r="I79" s="7"/>
      <c r="J79" s="7"/>
      <c r="K79" s="7"/>
      <c r="L79" s="7"/>
      <c r="M79" s="7"/>
      <c r="N79" s="21">
        <f>F79+G79+H79+I79+J79+K79+L79+M79</f>
        <v>0.0</v>
      </c>
      <c r="O79" s="7">
        <v>1.0</v>
      </c>
      <c r="P79" s="7">
        <v>0.0</v>
      </c>
      <c r="Q79" s="7">
        <v>1.0</v>
      </c>
      <c r="R79" s="7">
        <v>1.0</v>
      </c>
      <c r="S79" s="7">
        <v>0.0</v>
      </c>
      <c r="T79" s="7">
        <v>0.0</v>
      </c>
      <c r="U79" s="7">
        <v>0.0</v>
      </c>
      <c r="V79" s="7">
        <v>1.0</v>
      </c>
      <c r="W79" s="7">
        <v>0.0</v>
      </c>
      <c r="X79" s="23">
        <f>O79+P79+Q79+U79+V79+W79</f>
        <v>3.0</v>
      </c>
      <c r="Y79" s="5">
        <v>2.0</v>
      </c>
      <c r="Z79" s="7">
        <v>0.5</v>
      </c>
      <c r="AA79" s="7">
        <v>0.5</v>
      </c>
      <c r="AB79" s="7">
        <v>0.0</v>
      </c>
      <c r="AC79" s="7">
        <v>0.0</v>
      </c>
      <c r="AD79" s="7">
        <v>0.0</v>
      </c>
      <c r="AE79" s="7">
        <v>0.0</v>
      </c>
      <c r="AF79" s="7">
        <v>0.0</v>
      </c>
      <c r="AG79" s="7">
        <v>0.0</v>
      </c>
      <c r="AH79" s="18">
        <v>1.0</v>
      </c>
      <c r="AI79" s="7">
        <v>0.0</v>
      </c>
      <c r="AJ79" s="7">
        <v>0.0</v>
      </c>
      <c r="AK79" s="7">
        <v>0.0</v>
      </c>
      <c r="AL79" s="7">
        <v>1.0</v>
      </c>
      <c r="AM79" s="7">
        <v>0.0</v>
      </c>
      <c r="AN79" s="19">
        <v>1.0</v>
      </c>
    </row>
    <row r="80" spans="1:40" s="4" customFormat="1" ht="16.5">
      <c r="A80" s="4"/>
      <c r="B80" s="2"/>
      <c r="C80" s="2"/>
      <c r="D80" s="2" t="s">
        <v>143</v>
      </c>
      <c r="E80" s="11">
        <v>2.0</v>
      </c>
      <c r="F80" s="7">
        <v>0.0</v>
      </c>
      <c r="G80" s="7">
        <v>0.5</v>
      </c>
      <c r="H80" s="7">
        <v>1.0</v>
      </c>
      <c r="I80" s="7">
        <v>0.5</v>
      </c>
      <c r="J80" s="7">
        <v>0.0</v>
      </c>
      <c r="K80" s="7">
        <v>1.0</v>
      </c>
      <c r="L80" s="7">
        <v>1.0</v>
      </c>
      <c r="M80" s="7">
        <v>0.5</v>
      </c>
      <c r="N80" s="21">
        <f>F80+G80+H80+I80+J80+K80+L80+M80</f>
        <v>4.5</v>
      </c>
      <c r="O80" s="7"/>
      <c r="P80" s="7"/>
      <c r="Q80" s="7"/>
      <c r="R80" s="7"/>
      <c r="S80" s="7"/>
      <c r="T80" s="7"/>
      <c r="U80" s="7"/>
      <c r="V80" s="7"/>
      <c r="W80" s="7"/>
      <c r="X80" s="23">
        <f>O80+P80+Q80+U80+V80+W80</f>
        <v>0.0</v>
      </c>
      <c r="Y80" s="5">
        <v>2.0</v>
      </c>
      <c r="Z80" s="7">
        <v>1.0</v>
      </c>
      <c r="AA80" s="7">
        <v>0.0</v>
      </c>
      <c r="AB80" s="7">
        <v>0.0</v>
      </c>
      <c r="AC80" s="7">
        <v>0.0</v>
      </c>
      <c r="AD80" s="7">
        <v>0.0</v>
      </c>
      <c r="AE80" s="7">
        <v>0.0</v>
      </c>
      <c r="AF80" s="7">
        <v>0.0</v>
      </c>
      <c r="AG80" s="7">
        <v>0.0</v>
      </c>
      <c r="AH80" s="18">
        <v>2.0</v>
      </c>
      <c r="AI80" s="7">
        <v>0.0</v>
      </c>
      <c r="AJ80" s="7">
        <v>0.0</v>
      </c>
      <c r="AK80" s="7">
        <v>0.0</v>
      </c>
      <c r="AL80" s="7">
        <v>0.0</v>
      </c>
      <c r="AM80" s="7">
        <v>0.0</v>
      </c>
      <c r="AN80" s="19">
        <v>0.0</v>
      </c>
    </row>
    <row r="81" spans="1:40" s="4" customFormat="1" ht="16.5">
      <c r="A81" s="4"/>
      <c r="B81" s="2"/>
      <c r="C81" s="2"/>
      <c r="D81" s="2" t="s">
        <v>144</v>
      </c>
      <c r="E81" s="11">
        <v>1.0</v>
      </c>
      <c r="F81" s="7">
        <v>0.0</v>
      </c>
      <c r="G81" s="7">
        <v>0.0</v>
      </c>
      <c r="H81" s="7">
        <v>1.0</v>
      </c>
      <c r="I81" s="7">
        <v>1.0</v>
      </c>
      <c r="J81" s="7">
        <v>1.0</v>
      </c>
      <c r="K81" s="7">
        <v>0.0</v>
      </c>
      <c r="L81" s="7">
        <v>1.0</v>
      </c>
      <c r="M81" s="7">
        <v>0.0</v>
      </c>
      <c r="N81" s="21">
        <f>F81+G81+H81+I81+J81+K81+L81+M81</f>
        <v>4.0</v>
      </c>
      <c r="O81" s="7">
        <v>1.0</v>
      </c>
      <c r="P81" s="7">
        <v>0.0</v>
      </c>
      <c r="Q81" s="7">
        <v>1.0</v>
      </c>
      <c r="R81" s="7">
        <v>1.0</v>
      </c>
      <c r="S81" s="7">
        <v>0.0</v>
      </c>
      <c r="T81" s="7">
        <v>0.0</v>
      </c>
      <c r="U81" s="7">
        <v>1.0</v>
      </c>
      <c r="V81" s="7">
        <v>1.0</v>
      </c>
      <c r="W81" s="7">
        <v>1.0</v>
      </c>
      <c r="X81" s="23">
        <f>O81+P81+Q81+U81+V81+W81</f>
        <v>5.0</v>
      </c>
      <c r="Y81" s="5">
        <v>2.0</v>
      </c>
      <c r="Z81" s="7">
        <v>0.5</v>
      </c>
      <c r="AA81" s="7">
        <v>0.5</v>
      </c>
      <c r="AB81" s="7">
        <v>0.0</v>
      </c>
      <c r="AC81" s="7">
        <v>0.0</v>
      </c>
      <c r="AD81" s="7">
        <v>0.0</v>
      </c>
      <c r="AE81" s="7">
        <v>0.0</v>
      </c>
      <c r="AF81" s="7">
        <v>0.0</v>
      </c>
      <c r="AG81" s="7">
        <v>0.0</v>
      </c>
      <c r="AH81" s="18">
        <v>3.0</v>
      </c>
      <c r="AI81" s="7">
        <v>0.3333333333333333</v>
      </c>
      <c r="AJ81" s="7">
        <v>0.0</v>
      </c>
      <c r="AK81" s="7">
        <v>0.0</v>
      </c>
      <c r="AL81" s="7">
        <v>0.3333333333333333</v>
      </c>
      <c r="AM81" s="7">
        <v>0.0</v>
      </c>
      <c r="AN81" s="19">
        <v>0.6666666666666666</v>
      </c>
    </row>
    <row r="82" spans="1:40" s="4" customFormat="1" ht="16.5">
      <c r="A82" s="4"/>
      <c r="B82" s="2"/>
      <c r="C82" s="2"/>
      <c r="D82" s="2" t="s">
        <v>145</v>
      </c>
      <c r="E82" s="11">
        <v>1.0</v>
      </c>
      <c r="F82" s="7">
        <v>0.0</v>
      </c>
      <c r="G82" s="7">
        <v>0.0</v>
      </c>
      <c r="H82" s="7">
        <v>0.0</v>
      </c>
      <c r="I82" s="7">
        <v>1.0</v>
      </c>
      <c r="J82" s="7">
        <v>0.0</v>
      </c>
      <c r="K82" s="7">
        <v>0.0</v>
      </c>
      <c r="L82" s="7">
        <v>1.0</v>
      </c>
      <c r="M82" s="7">
        <v>1.0</v>
      </c>
      <c r="N82" s="21">
        <f>F82+G82+H82+I82+J82+K82+L82+M82</f>
        <v>3.0</v>
      </c>
      <c r="O82" s="7"/>
      <c r="P82" s="7"/>
      <c r="Q82" s="7"/>
      <c r="R82" s="7"/>
      <c r="S82" s="7"/>
      <c r="T82" s="7"/>
      <c r="U82" s="7"/>
      <c r="V82" s="7"/>
      <c r="W82" s="7"/>
      <c r="X82" s="23">
        <f>O82+P82+Q82+U82+V82+W82</f>
        <v>0.0</v>
      </c>
      <c r="Y82" s="5">
        <v>0.0</v>
      </c>
      <c r="Z82" s="7"/>
      <c r="AA82" s="7"/>
      <c r="AB82" s="7"/>
      <c r="AC82" s="7"/>
      <c r="AD82" s="7"/>
      <c r="AE82" s="7"/>
      <c r="AF82" s="7"/>
      <c r="AG82" s="7"/>
      <c r="AH82" s="18">
        <v>7.0</v>
      </c>
      <c r="AI82" s="7">
        <v>0.42857142857142855</v>
      </c>
      <c r="AJ82" s="7">
        <v>0.14285714285714285</v>
      </c>
      <c r="AK82" s="7">
        <v>0.14285714285714285</v>
      </c>
      <c r="AL82" s="7">
        <v>0.5714285714285714</v>
      </c>
      <c r="AM82" s="7">
        <v>0.14285714285714285</v>
      </c>
      <c r="AN82" s="19">
        <v>1.2857142857142856</v>
      </c>
    </row>
    <row r="83" spans="1:40" s="4" customFormat="1" ht="16.5">
      <c r="A83" s="4"/>
      <c r="B83" s="2"/>
      <c r="C83" s="2"/>
      <c r="D83" s="2" t="s">
        <v>146</v>
      </c>
      <c r="E83" s="11">
        <v>0.0</v>
      </c>
      <c r="F83" s="7"/>
      <c r="G83" s="7"/>
      <c r="H83" s="7"/>
      <c r="I83" s="7"/>
      <c r="J83" s="7"/>
      <c r="K83" s="7"/>
      <c r="L83" s="7"/>
      <c r="M83" s="7"/>
      <c r="N83" s="21">
        <f>F83+G83+H83+I83+J83+K83+L83+M83</f>
        <v>0.0</v>
      </c>
      <c r="O83" s="7"/>
      <c r="P83" s="7"/>
      <c r="Q83" s="7"/>
      <c r="R83" s="7"/>
      <c r="S83" s="7"/>
      <c r="T83" s="7"/>
      <c r="U83" s="7"/>
      <c r="V83" s="7"/>
      <c r="W83" s="7"/>
      <c r="X83" s="23">
        <f>O83+P83+Q83+U83+V83+W83</f>
        <v>0.0</v>
      </c>
      <c r="Y83" s="5">
        <v>0.0</v>
      </c>
      <c r="Z83" s="7"/>
      <c r="AA83" s="7"/>
      <c r="AB83" s="7"/>
      <c r="AC83" s="7"/>
      <c r="AD83" s="7"/>
      <c r="AE83" s="7"/>
      <c r="AF83" s="7"/>
      <c r="AG83" s="7"/>
      <c r="AH83" s="18"/>
      <c r="AI83" s="7"/>
      <c r="AJ83" s="7"/>
      <c r="AK83" s="7"/>
      <c r="AL83" s="7"/>
      <c r="AM83" s="7"/>
      <c r="AN83" s="19">
        <v>0.0</v>
      </c>
    </row>
    <row r="84" spans="1:40" s="4" customFormat="1" ht="16.5">
      <c r="A84" s="4"/>
      <c r="B84" s="2" t="s">
        <v>78</v>
      </c>
      <c r="C84" s="2" t="s">
        <v>79</v>
      </c>
      <c r="D84" s="2" t="s">
        <v>147</v>
      </c>
      <c r="E84" s="11">
        <v>1.0</v>
      </c>
      <c r="F84" s="7">
        <v>0.0</v>
      </c>
      <c r="G84" s="7">
        <v>0.0</v>
      </c>
      <c r="H84" s="7">
        <v>1.0</v>
      </c>
      <c r="I84" s="7">
        <v>1.0</v>
      </c>
      <c r="J84" s="7">
        <v>1.0</v>
      </c>
      <c r="K84" s="7">
        <v>0.0</v>
      </c>
      <c r="L84" s="7">
        <v>1.0</v>
      </c>
      <c r="M84" s="7">
        <v>1.0</v>
      </c>
      <c r="N84" s="21">
        <f>F84+G84+H84+I84+J84+K84+L84+M84</f>
        <v>5.0</v>
      </c>
      <c r="O84" s="7"/>
      <c r="P84" s="7"/>
      <c r="Q84" s="7"/>
      <c r="R84" s="7"/>
      <c r="S84" s="7"/>
      <c r="T84" s="7"/>
      <c r="U84" s="7"/>
      <c r="V84" s="7"/>
      <c r="W84" s="7"/>
      <c r="X84" s="23">
        <f>O84+P84+Q84+U84+V84+W84</f>
        <v>0.0</v>
      </c>
      <c r="Y84" s="5">
        <v>0.0</v>
      </c>
      <c r="Z84" s="7"/>
      <c r="AA84" s="7"/>
      <c r="AB84" s="7"/>
      <c r="AC84" s="7"/>
      <c r="AD84" s="7"/>
      <c r="AE84" s="7"/>
      <c r="AF84" s="7"/>
      <c r="AG84" s="7"/>
      <c r="AH84" s="18"/>
      <c r="AI84" s="7"/>
      <c r="AJ84" s="7"/>
      <c r="AK84" s="7"/>
      <c r="AL84" s="7"/>
      <c r="AM84" s="7"/>
      <c r="AN84" s="19">
        <v>0.0</v>
      </c>
    </row>
    <row r="85" spans="1:40" s="4" customFormat="1" ht="16.5">
      <c r="A85" s="4"/>
      <c r="B85" s="2"/>
      <c r="C85" s="2"/>
      <c r="D85" s="2" t="s">
        <v>148</v>
      </c>
      <c r="E85" s="11">
        <v>1.0</v>
      </c>
      <c r="F85" s="7">
        <v>1.0</v>
      </c>
      <c r="G85" s="7">
        <v>1.0</v>
      </c>
      <c r="H85" s="7">
        <v>1.0</v>
      </c>
      <c r="I85" s="7">
        <v>1.0</v>
      </c>
      <c r="J85" s="7">
        <v>1.0</v>
      </c>
      <c r="K85" s="7">
        <v>1.0</v>
      </c>
      <c r="L85" s="7">
        <v>1.0</v>
      </c>
      <c r="M85" s="7">
        <v>1.0</v>
      </c>
      <c r="N85" s="21">
        <f>F85+G85+H85+I85+J85+K85+L85+M85</f>
        <v>8.0</v>
      </c>
      <c r="O85" s="7">
        <v>0.0</v>
      </c>
      <c r="P85" s="7">
        <v>0.0</v>
      </c>
      <c r="Q85" s="7">
        <v>0.0</v>
      </c>
      <c r="R85" s="7"/>
      <c r="S85" s="7"/>
      <c r="T85" s="7"/>
      <c r="U85" s="7">
        <v>1.0</v>
      </c>
      <c r="V85" s="7">
        <v>0.0</v>
      </c>
      <c r="W85" s="7">
        <v>0.0</v>
      </c>
      <c r="X85" s="23">
        <f>O85+P85+Q85+U85+V85+W85</f>
        <v>1.0</v>
      </c>
      <c r="Y85" s="5">
        <v>0.0</v>
      </c>
      <c r="Z85" s="7"/>
      <c r="AA85" s="7"/>
      <c r="AB85" s="7"/>
      <c r="AC85" s="7"/>
      <c r="AD85" s="7"/>
      <c r="AE85" s="7"/>
      <c r="AF85" s="7"/>
      <c r="AG85" s="7"/>
      <c r="AH85" s="18"/>
      <c r="AI85" s="7"/>
      <c r="AJ85" s="7"/>
      <c r="AK85" s="7"/>
      <c r="AL85" s="7"/>
      <c r="AM85" s="7"/>
      <c r="AN85" s="19">
        <v>0.0</v>
      </c>
    </row>
    <row r="86" spans="1:40" s="4" customFormat="1" ht="16.5">
      <c r="A86" s="4"/>
      <c r="B86" s="2"/>
      <c r="C86" s="2"/>
      <c r="D86" s="2" t="s">
        <v>149</v>
      </c>
      <c r="E86" s="11">
        <v>0.0</v>
      </c>
      <c r="F86" s="7"/>
      <c r="G86" s="7"/>
      <c r="H86" s="7"/>
      <c r="I86" s="7"/>
      <c r="J86" s="7"/>
      <c r="K86" s="7"/>
      <c r="L86" s="7"/>
      <c r="M86" s="7"/>
      <c r="N86" s="21">
        <f>F86+G86+H86+I86+J86+K86+L86+M86</f>
        <v>0.0</v>
      </c>
      <c r="O86" s="7"/>
      <c r="P86" s="7"/>
      <c r="Q86" s="7"/>
      <c r="R86" s="7"/>
      <c r="S86" s="7"/>
      <c r="T86" s="7"/>
      <c r="U86" s="7"/>
      <c r="V86" s="7"/>
      <c r="W86" s="7"/>
      <c r="X86" s="23">
        <f>O86+P86+Q86+U86+V86+W86</f>
        <v>0.0</v>
      </c>
      <c r="Y86" s="5">
        <v>0.0</v>
      </c>
      <c r="Z86" s="7"/>
      <c r="AA86" s="7"/>
      <c r="AB86" s="7"/>
      <c r="AC86" s="7"/>
      <c r="AD86" s="7"/>
      <c r="AE86" s="7"/>
      <c r="AF86" s="7"/>
      <c r="AG86" s="7"/>
      <c r="AH86" s="18">
        <v>1.0</v>
      </c>
      <c r="AI86" s="7">
        <v>0.0</v>
      </c>
      <c r="AJ86" s="7">
        <v>0.0</v>
      </c>
      <c r="AK86" s="7">
        <v>0.0</v>
      </c>
      <c r="AL86" s="7">
        <v>0.0</v>
      </c>
      <c r="AM86" s="7">
        <v>0.0</v>
      </c>
      <c r="AN86" s="19">
        <v>0.0</v>
      </c>
    </row>
    <row r="87" spans="1:40" s="4" customFormat="1" ht="16.5">
      <c r="A87" s="4"/>
      <c r="B87" s="2"/>
      <c r="C87" s="2"/>
      <c r="D87" s="2" t="s">
        <v>150</v>
      </c>
      <c r="E87" s="11">
        <v>0.0</v>
      </c>
      <c r="F87" s="7"/>
      <c r="G87" s="7"/>
      <c r="H87" s="7"/>
      <c r="I87" s="7"/>
      <c r="J87" s="7"/>
      <c r="K87" s="7"/>
      <c r="L87" s="7"/>
      <c r="M87" s="7"/>
      <c r="N87" s="21">
        <f>F87+G87+H87+I87+J87+K87+L87+M87</f>
        <v>0.0</v>
      </c>
      <c r="O87" s="7"/>
      <c r="P87" s="7"/>
      <c r="Q87" s="7"/>
      <c r="R87" s="7"/>
      <c r="S87" s="7"/>
      <c r="T87" s="7"/>
      <c r="U87" s="7"/>
      <c r="V87" s="7"/>
      <c r="W87" s="7"/>
      <c r="X87" s="23">
        <f>O87+P87+Q87+U87+V87+W87</f>
        <v>0.0</v>
      </c>
      <c r="Y87" s="5">
        <v>0.0</v>
      </c>
      <c r="Z87" s="7"/>
      <c r="AA87" s="7"/>
      <c r="AB87" s="7"/>
      <c r="AC87" s="7"/>
      <c r="AD87" s="7"/>
      <c r="AE87" s="7"/>
      <c r="AF87" s="7"/>
      <c r="AG87" s="7"/>
      <c r="AH87" s="18"/>
      <c r="AI87" s="7"/>
      <c r="AJ87" s="7"/>
      <c r="AK87" s="7"/>
      <c r="AL87" s="7"/>
      <c r="AM87" s="7"/>
      <c r="AN87" s="19">
        <v>0.0</v>
      </c>
    </row>
    <row r="88" spans="1:40" s="4" customFormat="1" ht="16.5">
      <c r="A88" s="4"/>
      <c r="B88" s="2"/>
      <c r="C88" s="2"/>
      <c r="D88" s="2" t="s">
        <v>151</v>
      </c>
      <c r="E88" s="11">
        <v>1.0</v>
      </c>
      <c r="F88" s="7">
        <v>1.0</v>
      </c>
      <c r="G88" s="7">
        <v>1.0</v>
      </c>
      <c r="H88" s="7">
        <v>0.0</v>
      </c>
      <c r="I88" s="7">
        <v>1.0</v>
      </c>
      <c r="J88" s="7">
        <v>1.0</v>
      </c>
      <c r="K88" s="7">
        <v>1.0</v>
      </c>
      <c r="L88" s="7">
        <v>1.0</v>
      </c>
      <c r="M88" s="7">
        <v>1.0</v>
      </c>
      <c r="N88" s="21">
        <f>F88+G88+H88+I88+J88+K88+L88+M88</f>
        <v>7.0</v>
      </c>
      <c r="O88" s="7"/>
      <c r="P88" s="7"/>
      <c r="Q88" s="7"/>
      <c r="R88" s="7"/>
      <c r="S88" s="7"/>
      <c r="T88" s="7"/>
      <c r="U88" s="7"/>
      <c r="V88" s="7"/>
      <c r="W88" s="7"/>
      <c r="X88" s="23">
        <f>O88+P88+Q88+U88+V88+W88</f>
        <v>0.0</v>
      </c>
      <c r="Y88" s="5">
        <v>0.0</v>
      </c>
      <c r="Z88" s="7"/>
      <c r="AA88" s="7"/>
      <c r="AB88" s="7"/>
      <c r="AC88" s="7"/>
      <c r="AD88" s="7"/>
      <c r="AE88" s="7"/>
      <c r="AF88" s="7"/>
      <c r="AG88" s="7"/>
      <c r="AH88" s="18"/>
      <c r="AI88" s="7"/>
      <c r="AJ88" s="7"/>
      <c r="AK88" s="7"/>
      <c r="AL88" s="7"/>
      <c r="AM88" s="7"/>
      <c r="AN88" s="19">
        <v>0.0</v>
      </c>
    </row>
    <row r="89" spans="1:40" s="4" customFormat="1" ht="16.5">
      <c r="A89" s="4"/>
      <c r="B89" s="2"/>
      <c r="C89" s="2"/>
      <c r="D89" s="2" t="s">
        <v>152</v>
      </c>
      <c r="E89" s="11">
        <v>1.0</v>
      </c>
      <c r="F89" s="7">
        <v>0.0</v>
      </c>
      <c r="G89" s="7">
        <v>1.0</v>
      </c>
      <c r="H89" s="7">
        <v>1.0</v>
      </c>
      <c r="I89" s="7">
        <v>1.0</v>
      </c>
      <c r="J89" s="7">
        <v>1.0</v>
      </c>
      <c r="K89" s="7">
        <v>1.0</v>
      </c>
      <c r="L89" s="7">
        <v>1.0</v>
      </c>
      <c r="M89" s="7">
        <v>1.0</v>
      </c>
      <c r="N89" s="21">
        <f>F89+G89+H89+I89+J89+K89+L89+M89</f>
        <v>7.0</v>
      </c>
      <c r="O89" s="7"/>
      <c r="P89" s="7"/>
      <c r="Q89" s="7"/>
      <c r="R89" s="7"/>
      <c r="S89" s="7"/>
      <c r="T89" s="7"/>
      <c r="U89" s="7"/>
      <c r="V89" s="7"/>
      <c r="W89" s="7"/>
      <c r="X89" s="23">
        <f>O89+P89+Q89+U89+V89+W89</f>
        <v>0.0</v>
      </c>
      <c r="Y89" s="5">
        <v>1.0</v>
      </c>
      <c r="Z89" s="7">
        <v>1.0</v>
      </c>
      <c r="AA89" s="7">
        <v>0.0</v>
      </c>
      <c r="AB89" s="7">
        <v>0.0</v>
      </c>
      <c r="AC89" s="7">
        <v>0.0</v>
      </c>
      <c r="AD89" s="7">
        <v>0.0</v>
      </c>
      <c r="AE89" s="7">
        <v>0.0</v>
      </c>
      <c r="AF89" s="7">
        <v>0.0</v>
      </c>
      <c r="AG89" s="7">
        <v>0.0</v>
      </c>
      <c r="AH89" s="18"/>
      <c r="AI89" s="7"/>
      <c r="AJ89" s="7"/>
      <c r="AK89" s="7"/>
      <c r="AL89" s="7"/>
      <c r="AM89" s="7"/>
      <c r="AN89" s="19">
        <v>0.0</v>
      </c>
    </row>
    <row r="90" spans="1:40" s="4" customFormat="1" ht="16.5">
      <c r="A90" s="4"/>
      <c r="B90" s="2"/>
      <c r="C90" s="2"/>
      <c r="D90" s="2" t="s">
        <v>153</v>
      </c>
      <c r="E90" s="11">
        <v>0.0</v>
      </c>
      <c r="F90" s="7"/>
      <c r="G90" s="7"/>
      <c r="H90" s="7"/>
      <c r="I90" s="7"/>
      <c r="J90" s="7"/>
      <c r="K90" s="7"/>
      <c r="L90" s="7"/>
      <c r="M90" s="7"/>
      <c r="N90" s="21">
        <f>F90+G90+H90+I90+J90+K90+L90+M90</f>
        <v>0.0</v>
      </c>
      <c r="O90" s="7"/>
      <c r="P90" s="7"/>
      <c r="Q90" s="7"/>
      <c r="R90" s="7"/>
      <c r="S90" s="7"/>
      <c r="T90" s="7"/>
      <c r="U90" s="7"/>
      <c r="V90" s="7"/>
      <c r="W90" s="7"/>
      <c r="X90" s="23">
        <f>O90+P90+Q90+U90+V90+W90</f>
        <v>0.0</v>
      </c>
      <c r="Y90" s="5">
        <v>0.0</v>
      </c>
      <c r="Z90" s="7"/>
      <c r="AA90" s="7"/>
      <c r="AB90" s="7"/>
      <c r="AC90" s="7"/>
      <c r="AD90" s="7"/>
      <c r="AE90" s="7"/>
      <c r="AF90" s="7"/>
      <c r="AG90" s="7"/>
      <c r="AH90" s="18"/>
      <c r="AI90" s="7"/>
      <c r="AJ90" s="7"/>
      <c r="AK90" s="7"/>
      <c r="AL90" s="7"/>
      <c r="AM90" s="7"/>
      <c r="AN90" s="19">
        <v>0.0</v>
      </c>
    </row>
    <row r="91" spans="1:40" s="4" customFormat="1" ht="16.5">
      <c r="A91" s="4"/>
      <c r="B91" s="2"/>
      <c r="C91" s="2"/>
      <c r="D91" s="2" t="s">
        <v>154</v>
      </c>
      <c r="E91" s="11">
        <v>4.0</v>
      </c>
      <c r="F91" s="7">
        <v>0.0</v>
      </c>
      <c r="G91" s="7">
        <v>1.0</v>
      </c>
      <c r="H91" s="7">
        <v>1.0</v>
      </c>
      <c r="I91" s="7">
        <v>1.0</v>
      </c>
      <c r="J91" s="7">
        <v>1.0</v>
      </c>
      <c r="K91" s="7">
        <v>0.5</v>
      </c>
      <c r="L91" s="7">
        <v>1.0</v>
      </c>
      <c r="M91" s="7">
        <v>0.75</v>
      </c>
      <c r="N91" s="21">
        <f>F91+G91+H91+I91+J91+K91+L91+M91</f>
        <v>6.25</v>
      </c>
      <c r="O91" s="7">
        <v>0.5</v>
      </c>
      <c r="P91" s="7">
        <v>0.5</v>
      </c>
      <c r="Q91" s="7">
        <v>1.0</v>
      </c>
      <c r="R91" s="7">
        <v>1.0</v>
      </c>
      <c r="S91" s="7">
        <v>0.0</v>
      </c>
      <c r="T91" s="7">
        <v>0.0</v>
      </c>
      <c r="U91" s="7">
        <v>0.0</v>
      </c>
      <c r="V91" s="7">
        <v>0.5</v>
      </c>
      <c r="W91" s="7">
        <v>0.0</v>
      </c>
      <c r="X91" s="23">
        <f>O91+P91+Q91+U91+V91+W91</f>
        <v>2.5</v>
      </c>
      <c r="Y91" s="5">
        <v>1.0</v>
      </c>
      <c r="Z91" s="7">
        <v>1.0</v>
      </c>
      <c r="AA91" s="7">
        <v>1.0</v>
      </c>
      <c r="AB91" s="7">
        <v>0.0</v>
      </c>
      <c r="AC91" s="7">
        <v>0.0</v>
      </c>
      <c r="AD91" s="7">
        <v>0.0</v>
      </c>
      <c r="AE91" s="7">
        <v>0.0</v>
      </c>
      <c r="AF91" s="7">
        <v>0.0</v>
      </c>
      <c r="AG91" s="7">
        <v>0.0</v>
      </c>
      <c r="AH91" s="18"/>
      <c r="AI91" s="7"/>
      <c r="AJ91" s="7"/>
      <c r="AK91" s="7"/>
      <c r="AL91" s="7"/>
      <c r="AM91" s="7"/>
      <c r="AN91" s="19">
        <v>0.0</v>
      </c>
    </row>
    <row r="92" spans="1:40" s="4" customFormat="1" ht="16.5">
      <c r="A92" s="4"/>
      <c r="B92" s="2"/>
      <c r="C92" s="2"/>
      <c r="D92" s="2" t="s">
        <v>155</v>
      </c>
      <c r="E92" s="11">
        <v>0.0</v>
      </c>
      <c r="F92" s="7"/>
      <c r="G92" s="7"/>
      <c r="H92" s="7"/>
      <c r="I92" s="7"/>
      <c r="J92" s="7"/>
      <c r="K92" s="7"/>
      <c r="L92" s="7"/>
      <c r="M92" s="7"/>
      <c r="N92" s="21">
        <f>F92+G92+H92+I92+J92+K92+L92+M92</f>
        <v>0.0</v>
      </c>
      <c r="O92" s="7"/>
      <c r="P92" s="7"/>
      <c r="Q92" s="7"/>
      <c r="R92" s="7"/>
      <c r="S92" s="7"/>
      <c r="T92" s="7"/>
      <c r="U92" s="7"/>
      <c r="V92" s="7"/>
      <c r="W92" s="7"/>
      <c r="X92" s="23">
        <f>O92+P92+Q92+U92+V92+W92</f>
        <v>0.0</v>
      </c>
      <c r="Y92" s="5">
        <v>0.0</v>
      </c>
      <c r="Z92" s="7"/>
      <c r="AA92" s="7"/>
      <c r="AB92" s="7"/>
      <c r="AC92" s="7"/>
      <c r="AD92" s="7"/>
      <c r="AE92" s="7"/>
      <c r="AF92" s="7"/>
      <c r="AG92" s="7"/>
      <c r="AH92" s="18"/>
      <c r="AI92" s="7"/>
      <c r="AJ92" s="7"/>
      <c r="AK92" s="7"/>
      <c r="AL92" s="7"/>
      <c r="AM92" s="7"/>
      <c r="AN92" s="19">
        <v>0.0</v>
      </c>
    </row>
    <row r="93" spans="1:40" s="4" customFormat="1" ht="16.5">
      <c r="A93" s="4"/>
      <c r="B93" s="2"/>
      <c r="C93" s="2"/>
      <c r="D93" s="2" t="s">
        <v>156</v>
      </c>
      <c r="E93" s="11">
        <v>1.0</v>
      </c>
      <c r="F93" s="7">
        <v>0.0</v>
      </c>
      <c r="G93" s="7">
        <v>0.0</v>
      </c>
      <c r="H93" s="7">
        <v>1.0</v>
      </c>
      <c r="I93" s="7">
        <v>1.0</v>
      </c>
      <c r="J93" s="7">
        <v>1.0</v>
      </c>
      <c r="K93" s="7">
        <v>1.0</v>
      </c>
      <c r="L93" s="7">
        <v>0.0</v>
      </c>
      <c r="M93" s="7">
        <v>1.0</v>
      </c>
      <c r="N93" s="21">
        <f>F93+G93+H93+I93+J93+K93+L93+M93</f>
        <v>5.0</v>
      </c>
      <c r="O93" s="7"/>
      <c r="P93" s="7"/>
      <c r="Q93" s="7"/>
      <c r="R93" s="7"/>
      <c r="S93" s="7"/>
      <c r="T93" s="7"/>
      <c r="U93" s="7"/>
      <c r="V93" s="7"/>
      <c r="W93" s="7"/>
      <c r="X93" s="23">
        <f>O93+P93+Q93+U93+V93+W93</f>
        <v>0.0</v>
      </c>
      <c r="Y93" s="5">
        <v>0.0</v>
      </c>
      <c r="Z93" s="7"/>
      <c r="AA93" s="7"/>
      <c r="AB93" s="7"/>
      <c r="AC93" s="7"/>
      <c r="AD93" s="7"/>
      <c r="AE93" s="7"/>
      <c r="AF93" s="7"/>
      <c r="AG93" s="7"/>
      <c r="AH93" s="18"/>
      <c r="AI93" s="7"/>
      <c r="AJ93" s="7"/>
      <c r="AK93" s="7"/>
      <c r="AL93" s="7"/>
      <c r="AM93" s="7"/>
      <c r="AN93" s="19">
        <v>0.0</v>
      </c>
    </row>
    <row r="94" spans="1:40" s="4" customFormat="1" ht="16.5">
      <c r="A94" s="4"/>
      <c r="B94" s="2"/>
      <c r="C94" s="2"/>
      <c r="D94" s="2" t="s">
        <v>157</v>
      </c>
      <c r="E94" s="11">
        <v>0.0</v>
      </c>
      <c r="F94" s="7"/>
      <c r="G94" s="7"/>
      <c r="H94" s="7"/>
      <c r="I94" s="7"/>
      <c r="J94" s="7"/>
      <c r="K94" s="7"/>
      <c r="L94" s="7"/>
      <c r="M94" s="7"/>
      <c r="N94" s="21">
        <f>F94+G94+H94+I94+J94+K94+L94+M94</f>
        <v>0.0</v>
      </c>
      <c r="O94" s="7"/>
      <c r="P94" s="7"/>
      <c r="Q94" s="7"/>
      <c r="R94" s="7"/>
      <c r="S94" s="7"/>
      <c r="T94" s="7"/>
      <c r="U94" s="7"/>
      <c r="V94" s="7"/>
      <c r="W94" s="7"/>
      <c r="X94" s="23">
        <f>O94+P94+Q94+U94+V94+W94</f>
        <v>0.0</v>
      </c>
      <c r="Y94" s="5">
        <v>0.0</v>
      </c>
      <c r="Z94" s="7"/>
      <c r="AA94" s="7"/>
      <c r="AB94" s="7"/>
      <c r="AC94" s="7"/>
      <c r="AD94" s="7"/>
      <c r="AE94" s="7"/>
      <c r="AF94" s="7"/>
      <c r="AG94" s="7"/>
      <c r="AH94" s="18">
        <v>1.0</v>
      </c>
      <c r="AI94" s="7">
        <v>0.0</v>
      </c>
      <c r="AJ94" s="7">
        <v>0.0</v>
      </c>
      <c r="AK94" s="7">
        <v>0.0</v>
      </c>
      <c r="AL94" s="7">
        <v>0.0</v>
      </c>
      <c r="AM94" s="7">
        <v>0.0</v>
      </c>
      <c r="AN94" s="19">
        <v>0.0</v>
      </c>
    </row>
    <row r="95" spans="1:40" s="4" customFormat="1" ht="16.5">
      <c r="A95" s="4"/>
      <c r="B95" s="2" t="s">
        <v>80</v>
      </c>
      <c r="C95" s="2" t="s">
        <v>81</v>
      </c>
      <c r="D95" s="2" t="s">
        <v>158</v>
      </c>
      <c r="E95" s="11">
        <v>0.0</v>
      </c>
      <c r="F95" s="7"/>
      <c r="G95" s="7"/>
      <c r="H95" s="7"/>
      <c r="I95" s="7"/>
      <c r="J95" s="7"/>
      <c r="K95" s="7"/>
      <c r="L95" s="7"/>
      <c r="M95" s="7"/>
      <c r="N95" s="21">
        <f>F95+G95+H95+I95+J95+K95+L95+M95</f>
        <v>0.0</v>
      </c>
      <c r="O95" s="7"/>
      <c r="P95" s="7"/>
      <c r="Q95" s="7"/>
      <c r="R95" s="7"/>
      <c r="S95" s="7"/>
      <c r="T95" s="7"/>
      <c r="U95" s="7"/>
      <c r="V95" s="7"/>
      <c r="W95" s="7"/>
      <c r="X95" s="23">
        <f>O95+P95+Q95+U95+V95+W95</f>
        <v>0.0</v>
      </c>
      <c r="Y95" s="5">
        <v>0.0</v>
      </c>
      <c r="Z95" s="7"/>
      <c r="AA95" s="7"/>
      <c r="AB95" s="7"/>
      <c r="AC95" s="7"/>
      <c r="AD95" s="7"/>
      <c r="AE95" s="7"/>
      <c r="AF95" s="7"/>
      <c r="AG95" s="7"/>
      <c r="AH95" s="18"/>
      <c r="AI95" s="7"/>
      <c r="AJ95" s="7"/>
      <c r="AK95" s="7"/>
      <c r="AL95" s="7"/>
      <c r="AM95" s="7"/>
      <c r="AN95" s="19">
        <v>0.0</v>
      </c>
    </row>
    <row r="96" spans="1:40" s="4" customFormat="1" ht="16.5">
      <c r="A96" s="4"/>
      <c r="B96" s="2"/>
      <c r="C96" s="2"/>
      <c r="D96" s="2" t="s">
        <v>159</v>
      </c>
      <c r="E96" s="11">
        <v>1.0</v>
      </c>
      <c r="F96" s="7">
        <v>1.0</v>
      </c>
      <c r="G96" s="7">
        <v>0.0</v>
      </c>
      <c r="H96" s="7">
        <v>1.0</v>
      </c>
      <c r="I96" s="7">
        <v>1.0</v>
      </c>
      <c r="J96" s="7">
        <v>1.0</v>
      </c>
      <c r="K96" s="7">
        <v>1.0</v>
      </c>
      <c r="L96" s="7">
        <v>1.0</v>
      </c>
      <c r="M96" s="7">
        <v>1.0</v>
      </c>
      <c r="N96" s="21">
        <f>F96+G96+H96+I96+J96+K96+L96+M96</f>
        <v>7.0</v>
      </c>
      <c r="O96" s="7">
        <v>0.0</v>
      </c>
      <c r="P96" s="7">
        <v>0.0</v>
      </c>
      <c r="Q96" s="7">
        <v>0.0</v>
      </c>
      <c r="R96" s="7"/>
      <c r="S96" s="7"/>
      <c r="T96" s="7"/>
      <c r="U96" s="7">
        <v>0.0</v>
      </c>
      <c r="V96" s="7">
        <v>0.0</v>
      </c>
      <c r="W96" s="7">
        <v>0.0</v>
      </c>
      <c r="X96" s="23">
        <f>O96+P96+Q96+U96+V96+W96</f>
        <v>0.0</v>
      </c>
      <c r="Y96" s="5">
        <v>2.0</v>
      </c>
      <c r="Z96" s="7">
        <v>0.5</v>
      </c>
      <c r="AA96" s="7">
        <v>0.5</v>
      </c>
      <c r="AB96" s="7">
        <v>0.0</v>
      </c>
      <c r="AC96" s="7">
        <v>0.0</v>
      </c>
      <c r="AD96" s="7">
        <v>0.0</v>
      </c>
      <c r="AE96" s="7">
        <v>0.0</v>
      </c>
      <c r="AF96" s="7">
        <v>0.0</v>
      </c>
      <c r="AG96" s="7">
        <v>0.5</v>
      </c>
      <c r="AH96" s="18">
        <v>3.0</v>
      </c>
      <c r="AI96" s="7">
        <v>1.0</v>
      </c>
      <c r="AJ96" s="7">
        <v>0.0</v>
      </c>
      <c r="AK96" s="7">
        <v>0.0</v>
      </c>
      <c r="AL96" s="7">
        <v>0.3333333333333333</v>
      </c>
      <c r="AM96" s="7">
        <v>0.3333333333333333</v>
      </c>
      <c r="AN96" s="19">
        <v>1.6666666666666665</v>
      </c>
    </row>
    <row r="97" spans="1:40" s="4" customFormat="1" ht="16.5">
      <c r="A97" s="4"/>
      <c r="B97" s="2"/>
      <c r="C97" s="2"/>
      <c r="D97" s="2" t="s">
        <v>160</v>
      </c>
      <c r="E97" s="11">
        <v>0.0</v>
      </c>
      <c r="F97" s="7"/>
      <c r="G97" s="7"/>
      <c r="H97" s="7"/>
      <c r="I97" s="7"/>
      <c r="J97" s="7"/>
      <c r="K97" s="7"/>
      <c r="L97" s="7"/>
      <c r="M97" s="7"/>
      <c r="N97" s="21">
        <f>F97+G97+H97+I97+J97+K97+L97+M97</f>
        <v>0.0</v>
      </c>
      <c r="O97" s="7"/>
      <c r="P97" s="7"/>
      <c r="Q97" s="7"/>
      <c r="R97" s="7"/>
      <c r="S97" s="7"/>
      <c r="T97" s="7"/>
      <c r="U97" s="7"/>
      <c r="V97" s="7"/>
      <c r="W97" s="7"/>
      <c r="X97" s="23">
        <f>O97+P97+Q97+U97+V97+W97</f>
        <v>0.0</v>
      </c>
      <c r="Y97" s="5">
        <v>0.0</v>
      </c>
      <c r="Z97" s="7"/>
      <c r="AA97" s="7"/>
      <c r="AB97" s="7"/>
      <c r="AC97" s="7"/>
      <c r="AD97" s="7"/>
      <c r="AE97" s="7"/>
      <c r="AF97" s="7"/>
      <c r="AG97" s="7"/>
      <c r="AH97" s="18">
        <v>1.0</v>
      </c>
      <c r="AI97" s="7">
        <v>1.0</v>
      </c>
      <c r="AJ97" s="7">
        <v>0.0</v>
      </c>
      <c r="AK97" s="7">
        <v>0.0</v>
      </c>
      <c r="AL97" s="7">
        <v>0.0</v>
      </c>
      <c r="AM97" s="7">
        <v>0.0</v>
      </c>
      <c r="AN97" s="19">
        <v>1.0</v>
      </c>
    </row>
    <row r="98" spans="1:40" s="4" customFormat="1" ht="16.5">
      <c r="A98" s="4"/>
      <c r="B98" s="2"/>
      <c r="C98" s="2"/>
      <c r="D98" s="2" t="s">
        <v>161</v>
      </c>
      <c r="E98" s="11">
        <v>1.0</v>
      </c>
      <c r="F98" s="7">
        <v>0.0</v>
      </c>
      <c r="G98" s="7">
        <v>0.0</v>
      </c>
      <c r="H98" s="7">
        <v>1.0</v>
      </c>
      <c r="I98" s="7">
        <v>1.0</v>
      </c>
      <c r="J98" s="7">
        <v>0.0</v>
      </c>
      <c r="K98" s="7">
        <v>1.0</v>
      </c>
      <c r="L98" s="7">
        <v>1.0</v>
      </c>
      <c r="M98" s="7">
        <v>1.0</v>
      </c>
      <c r="N98" s="21">
        <f>F98+G98+H98+I98+J98+K98+L98+M98</f>
        <v>5.0</v>
      </c>
      <c r="O98" s="7"/>
      <c r="P98" s="7"/>
      <c r="Q98" s="7"/>
      <c r="R98" s="7"/>
      <c r="S98" s="7"/>
      <c r="T98" s="7"/>
      <c r="U98" s="7"/>
      <c r="V98" s="7"/>
      <c r="W98" s="7"/>
      <c r="X98" s="23">
        <f>O98+P98+Q98+U98+V98+W98</f>
        <v>0.0</v>
      </c>
      <c r="Y98" s="5">
        <v>1.0</v>
      </c>
      <c r="Z98" s="7">
        <v>0.0</v>
      </c>
      <c r="AA98" s="7">
        <v>1.0</v>
      </c>
      <c r="AB98" s="7">
        <v>0.0</v>
      </c>
      <c r="AC98" s="7">
        <v>0.0</v>
      </c>
      <c r="AD98" s="7">
        <v>0.0</v>
      </c>
      <c r="AE98" s="7">
        <v>0.0</v>
      </c>
      <c r="AF98" s="7">
        <v>0.0</v>
      </c>
      <c r="AG98" s="7">
        <v>0.0</v>
      </c>
      <c r="AH98" s="18">
        <v>2.0</v>
      </c>
      <c r="AI98" s="7">
        <v>0.5</v>
      </c>
      <c r="AJ98" s="7">
        <v>1.0</v>
      </c>
      <c r="AK98" s="7">
        <v>1.0</v>
      </c>
      <c r="AL98" s="7">
        <v>0.0</v>
      </c>
      <c r="AM98" s="7">
        <v>0.0</v>
      </c>
      <c r="AN98" s="19">
        <v>1.5</v>
      </c>
    </row>
    <row r="99" spans="1:40" s="4" customFormat="1" ht="16.5">
      <c r="A99" s="4"/>
      <c r="B99" s="2"/>
      <c r="C99" s="2"/>
      <c r="D99" s="2" t="s">
        <v>162</v>
      </c>
      <c r="E99" s="11">
        <v>0.0</v>
      </c>
      <c r="F99" s="7"/>
      <c r="G99" s="7"/>
      <c r="H99" s="7"/>
      <c r="I99" s="7"/>
      <c r="J99" s="7"/>
      <c r="K99" s="7"/>
      <c r="L99" s="7"/>
      <c r="M99" s="7"/>
      <c r="N99" s="21">
        <f>F99+G99+H99+I99+J99+K99+L99+M99</f>
        <v>0.0</v>
      </c>
      <c r="O99" s="7"/>
      <c r="P99" s="7"/>
      <c r="Q99" s="7"/>
      <c r="R99" s="7"/>
      <c r="S99" s="7"/>
      <c r="T99" s="7"/>
      <c r="U99" s="7"/>
      <c r="V99" s="7"/>
      <c r="W99" s="7"/>
      <c r="X99" s="23">
        <f>O99+P99+Q99+U99+V99+W99</f>
        <v>0.0</v>
      </c>
      <c r="Y99" s="5">
        <v>0.0</v>
      </c>
      <c r="Z99" s="7"/>
      <c r="AA99" s="7"/>
      <c r="AB99" s="7"/>
      <c r="AC99" s="7"/>
      <c r="AD99" s="7"/>
      <c r="AE99" s="7"/>
      <c r="AF99" s="7"/>
      <c r="AG99" s="7"/>
      <c r="AH99" s="18">
        <v>1.0</v>
      </c>
      <c r="AI99" s="7">
        <v>0.0</v>
      </c>
      <c r="AJ99" s="7">
        <v>0.0</v>
      </c>
      <c r="AK99" s="7">
        <v>0.0</v>
      </c>
      <c r="AL99" s="7">
        <v>1.0</v>
      </c>
      <c r="AM99" s="7">
        <v>1.0</v>
      </c>
      <c r="AN99" s="19">
        <v>2.0</v>
      </c>
    </row>
    <row r="100" spans="1:40" s="4" customFormat="1" ht="16.5">
      <c r="A100" s="4"/>
      <c r="B100" s="2"/>
      <c r="C100" s="2"/>
      <c r="D100" s="2" t="s">
        <v>163</v>
      </c>
      <c r="E100" s="11">
        <v>1.0</v>
      </c>
      <c r="F100" s="7">
        <v>0.0</v>
      </c>
      <c r="G100" s="7">
        <v>0.0</v>
      </c>
      <c r="H100" s="7">
        <v>1.0</v>
      </c>
      <c r="I100" s="7">
        <v>1.0</v>
      </c>
      <c r="J100" s="7">
        <v>1.0</v>
      </c>
      <c r="K100" s="7">
        <v>1.0</v>
      </c>
      <c r="L100" s="7">
        <v>1.0</v>
      </c>
      <c r="M100" s="7">
        <v>1.0</v>
      </c>
      <c r="N100" s="21">
        <f>F100+G100+H100+I100+J100+K100+L100+M100</f>
        <v>6.0</v>
      </c>
      <c r="O100" s="7"/>
      <c r="P100" s="7"/>
      <c r="Q100" s="7"/>
      <c r="R100" s="7"/>
      <c r="S100" s="7"/>
      <c r="T100" s="7"/>
      <c r="U100" s="7"/>
      <c r="V100" s="7"/>
      <c r="W100" s="7"/>
      <c r="X100" s="23">
        <f>O100+P100+Q100+U100+V100+W100</f>
        <v>0.0</v>
      </c>
      <c r="Y100" s="5">
        <v>1.0</v>
      </c>
      <c r="Z100" s="7">
        <v>0.0</v>
      </c>
      <c r="AA100" s="7">
        <v>0.0</v>
      </c>
      <c r="AB100" s="7">
        <v>0.0</v>
      </c>
      <c r="AC100" s="7">
        <v>0.0</v>
      </c>
      <c r="AD100" s="7">
        <v>0.0</v>
      </c>
      <c r="AE100" s="7">
        <v>1.0</v>
      </c>
      <c r="AF100" s="7">
        <v>0.0</v>
      </c>
      <c r="AG100" s="7">
        <v>0.0</v>
      </c>
      <c r="AH100" s="18"/>
      <c r="AI100" s="7"/>
      <c r="AJ100" s="7"/>
      <c r="AK100" s="7"/>
      <c r="AL100" s="7"/>
      <c r="AM100" s="7"/>
      <c r="AN100" s="19">
        <v>0.0</v>
      </c>
    </row>
    <row r="101" spans="1:40" s="4" customFormat="1" ht="16.5">
      <c r="A101" s="4"/>
      <c r="B101" s="2"/>
      <c r="C101" s="2"/>
      <c r="D101" s="2" t="s">
        <v>164</v>
      </c>
      <c r="E101" s="11">
        <v>1.0</v>
      </c>
      <c r="F101" s="7">
        <v>0.0</v>
      </c>
      <c r="G101" s="7">
        <v>0.0</v>
      </c>
      <c r="H101" s="7">
        <v>1.0</v>
      </c>
      <c r="I101" s="7">
        <v>1.0</v>
      </c>
      <c r="J101" s="7">
        <v>1.0</v>
      </c>
      <c r="K101" s="7">
        <v>0.0</v>
      </c>
      <c r="L101" s="7">
        <v>1.0</v>
      </c>
      <c r="M101" s="7">
        <v>1.0</v>
      </c>
      <c r="N101" s="21">
        <f>F101+G101+H101+I101+J101+K101+L101+M101</f>
        <v>5.0</v>
      </c>
      <c r="O101" s="7">
        <v>1.0</v>
      </c>
      <c r="P101" s="7">
        <v>1.0</v>
      </c>
      <c r="Q101" s="7">
        <v>1.0</v>
      </c>
      <c r="R101" s="7">
        <v>0.0</v>
      </c>
      <c r="S101" s="7">
        <v>1.0</v>
      </c>
      <c r="T101" s="7">
        <v>0.0</v>
      </c>
      <c r="U101" s="7">
        <v>0.0</v>
      </c>
      <c r="V101" s="7">
        <v>1.0</v>
      </c>
      <c r="W101" s="7">
        <v>0.0</v>
      </c>
      <c r="X101" s="23">
        <f>O101+P101+Q101+U101+V101+W101</f>
        <v>4.0</v>
      </c>
      <c r="Y101" s="5">
        <v>1.0</v>
      </c>
      <c r="Z101" s="7">
        <v>0.0</v>
      </c>
      <c r="AA101" s="7">
        <v>1.0</v>
      </c>
      <c r="AB101" s="7">
        <v>0.0</v>
      </c>
      <c r="AC101" s="7">
        <v>0.0</v>
      </c>
      <c r="AD101" s="7">
        <v>0.0</v>
      </c>
      <c r="AE101" s="7">
        <v>0.0</v>
      </c>
      <c r="AF101" s="7">
        <v>0.0</v>
      </c>
      <c r="AG101" s="7">
        <v>1.0</v>
      </c>
      <c r="AH101" s="18"/>
      <c r="AI101" s="7"/>
      <c r="AJ101" s="7"/>
      <c r="AK101" s="7"/>
      <c r="AL101" s="7"/>
      <c r="AM101" s="7"/>
      <c r="AN101" s="19">
        <v>0.0</v>
      </c>
    </row>
    <row r="102" spans="1:40" s="4" customFormat="1" ht="16.5">
      <c r="A102" s="4"/>
      <c r="B102" s="2" t="s">
        <v>82</v>
      </c>
      <c r="C102" s="2" t="s">
        <v>83</v>
      </c>
      <c r="D102" s="2" t="s">
        <v>27</v>
      </c>
      <c r="E102" s="11">
        <v>3.0</v>
      </c>
      <c r="F102" s="7">
        <v>0.3333333333333333</v>
      </c>
      <c r="G102" s="7">
        <v>0.0</v>
      </c>
      <c r="H102" s="7">
        <v>0.3333333333333333</v>
      </c>
      <c r="I102" s="7">
        <v>0.3333333333333333</v>
      </c>
      <c r="J102" s="7">
        <v>0.3333333333333333</v>
      </c>
      <c r="K102" s="7">
        <v>0.3333333333333333</v>
      </c>
      <c r="L102" s="7">
        <v>0.6666666666666666</v>
      </c>
      <c r="M102" s="7">
        <v>0.3333333333333333</v>
      </c>
      <c r="N102" s="21">
        <f>F102+G102+H102+I102+J102+K102+L102+M102</f>
        <v>2.6666666666666665</v>
      </c>
      <c r="O102" s="7"/>
      <c r="P102" s="7"/>
      <c r="Q102" s="7"/>
      <c r="R102" s="7"/>
      <c r="S102" s="7"/>
      <c r="T102" s="7"/>
      <c r="U102" s="7"/>
      <c r="V102" s="7"/>
      <c r="W102" s="7"/>
      <c r="X102" s="23">
        <f>O102+P102+Q102+U102+V102+W102</f>
        <v>0.0</v>
      </c>
      <c r="Y102" s="5">
        <v>0.0</v>
      </c>
      <c r="Z102" s="7"/>
      <c r="AA102" s="7"/>
      <c r="AB102" s="7"/>
      <c r="AC102" s="7"/>
      <c r="AD102" s="7"/>
      <c r="AE102" s="7"/>
      <c r="AF102" s="7"/>
      <c r="AG102" s="7"/>
      <c r="AH102" s="18">
        <v>2.0</v>
      </c>
      <c r="AI102" s="7">
        <v>1.0</v>
      </c>
      <c r="AJ102" s="7">
        <v>0.5</v>
      </c>
      <c r="AK102" s="7">
        <v>0.5</v>
      </c>
      <c r="AL102" s="7">
        <v>1.0</v>
      </c>
      <c r="AM102" s="7">
        <v>0.5</v>
      </c>
      <c r="AN102" s="19">
        <v>3.0</v>
      </c>
    </row>
    <row r="103" spans="1:40" s="4" customFormat="1" ht="16.5">
      <c r="A103" s="4"/>
      <c r="B103" s="2"/>
      <c r="C103" s="2"/>
      <c r="D103" s="2" t="s">
        <v>29</v>
      </c>
      <c r="E103" s="11">
        <v>5.0</v>
      </c>
      <c r="F103" s="7">
        <v>0.0</v>
      </c>
      <c r="G103" s="7">
        <v>0.4</v>
      </c>
      <c r="H103" s="7">
        <v>0.8</v>
      </c>
      <c r="I103" s="7">
        <v>1.0</v>
      </c>
      <c r="J103" s="7">
        <v>0.6</v>
      </c>
      <c r="K103" s="7">
        <v>0.4</v>
      </c>
      <c r="L103" s="7">
        <v>1.0</v>
      </c>
      <c r="M103" s="7">
        <v>1.0</v>
      </c>
      <c r="N103" s="21">
        <f>F103+G103+H103+I103+J103+K103+L103+M103</f>
        <v>5.2</v>
      </c>
      <c r="O103" s="7">
        <v>0.0</v>
      </c>
      <c r="P103" s="7">
        <v>0.0</v>
      </c>
      <c r="Q103" s="7">
        <v>0.0</v>
      </c>
      <c r="R103" s="7"/>
      <c r="S103" s="7"/>
      <c r="T103" s="7"/>
      <c r="U103" s="7">
        <v>0.0</v>
      </c>
      <c r="V103" s="7">
        <v>1.0</v>
      </c>
      <c r="W103" s="7">
        <v>1.0</v>
      </c>
      <c r="X103" s="23">
        <f>O103+P103+Q103+U103+V103+W103</f>
        <v>2.0</v>
      </c>
      <c r="Y103" s="5">
        <v>1.0</v>
      </c>
      <c r="Z103" s="7">
        <v>0.0</v>
      </c>
      <c r="AA103" s="7">
        <v>0.0</v>
      </c>
      <c r="AB103" s="7">
        <v>0.0</v>
      </c>
      <c r="AC103" s="7">
        <v>0.0</v>
      </c>
      <c r="AD103" s="7">
        <v>0.0</v>
      </c>
      <c r="AE103" s="7">
        <v>0.0</v>
      </c>
      <c r="AF103" s="7">
        <v>1.0</v>
      </c>
      <c r="AG103" s="7">
        <v>1.0</v>
      </c>
      <c r="AH103" s="18">
        <v>1.0</v>
      </c>
      <c r="AI103" s="7">
        <v>0.0</v>
      </c>
      <c r="AJ103" s="7">
        <v>0.0</v>
      </c>
      <c r="AK103" s="7">
        <v>1.0</v>
      </c>
      <c r="AL103" s="7">
        <v>0.0</v>
      </c>
      <c r="AM103" s="7">
        <v>0.0</v>
      </c>
      <c r="AN103" s="19">
        <v>0.0</v>
      </c>
    </row>
    <row r="104" spans="1:40" s="4" customFormat="1" ht="16.5">
      <c r="A104" s="4"/>
      <c r="B104" s="2"/>
      <c r="C104" s="2"/>
      <c r="D104" s="2" t="s">
        <v>24</v>
      </c>
      <c r="E104" s="11">
        <v>4.0</v>
      </c>
      <c r="F104" s="7">
        <v>0.75</v>
      </c>
      <c r="G104" s="7">
        <v>0.5</v>
      </c>
      <c r="H104" s="7">
        <v>0.5</v>
      </c>
      <c r="I104" s="7">
        <v>1.0</v>
      </c>
      <c r="J104" s="7">
        <v>1.0</v>
      </c>
      <c r="K104" s="7">
        <v>0.75</v>
      </c>
      <c r="L104" s="7">
        <v>0.25</v>
      </c>
      <c r="M104" s="7">
        <v>0.75</v>
      </c>
      <c r="N104" s="21">
        <f>F104+G104+H104+I104+J104+K104+L104+M104</f>
        <v>5.5</v>
      </c>
      <c r="O104" s="7">
        <v>1.0</v>
      </c>
      <c r="P104" s="7">
        <v>1.0</v>
      </c>
      <c r="Q104" s="7">
        <v>1.0</v>
      </c>
      <c r="R104" s="7">
        <v>0.0</v>
      </c>
      <c r="S104" s="7">
        <v>1.0</v>
      </c>
      <c r="T104" s="7">
        <v>0.5</v>
      </c>
      <c r="U104" s="7">
        <v>0.0</v>
      </c>
      <c r="V104" s="7">
        <v>1.0</v>
      </c>
      <c r="W104" s="7">
        <v>0.0</v>
      </c>
      <c r="X104" s="23">
        <f>O104+P104+Q104+U104+V104+W104</f>
        <v>4.0</v>
      </c>
      <c r="Y104" s="5">
        <v>0.0</v>
      </c>
      <c r="Z104" s="7"/>
      <c r="AA104" s="7"/>
      <c r="AB104" s="7"/>
      <c r="AC104" s="7"/>
      <c r="AD104" s="7"/>
      <c r="AE104" s="7"/>
      <c r="AF104" s="7"/>
      <c r="AG104" s="7"/>
      <c r="AH104" s="18"/>
      <c r="AI104" s="7"/>
      <c r="AJ104" s="7"/>
      <c r="AK104" s="7"/>
      <c r="AL104" s="7"/>
      <c r="AM104" s="7"/>
      <c r="AN104" s="19">
        <v>0.0</v>
      </c>
    </row>
    <row r="105" spans="1:1" ht="14.25">
      <c r="A105" s="9"/>
    </row>
    <row r="106" spans="1:1" ht="14.25">
      <c r="A106" s="9"/>
    </row>
    <row r="107" spans="1:2" s="14" customFormat="1" ht="16.5">
      <c r="A107" s="14"/>
      <c r="B107" s="13" t="s">
        <v>43</v>
      </c>
    </row>
    <row r="108" spans="1:2" s="14" customFormat="1" ht="16.5">
      <c r="A108" s="14"/>
      <c r="B108" s="15" t="s">
        <v>39</v>
      </c>
    </row>
    <row r="109" spans="1:2" s="14" customFormat="1" ht="16.5">
      <c r="A109" s="14"/>
      <c r="B109" s="15" t="s">
        <v>47</v>
      </c>
    </row>
    <row r="110" spans="1:2" s="14" customFormat="1" ht="16.5">
      <c r="A110" s="14"/>
      <c r="B110" s="15" t="s">
        <v>40</v>
      </c>
    </row>
    <row r="111" spans="1:2" s="14" customFormat="1" ht="16.5">
      <c r="A111" s="14"/>
      <c r="B111" s="15" t="s">
        <v>42</v>
      </c>
    </row>
    <row r="112" spans="1:2" s="14" customFormat="1" ht="16.5">
      <c r="A112" s="14"/>
      <c r="B112" s="15" t="s">
        <v>41</v>
      </c>
    </row>
    <row r="113" spans="1:2" s="14" customFormat="1" ht="16.5">
      <c r="A113" s="14"/>
      <c r="B113" s="15" t="s">
        <v>44</v>
      </c>
    </row>
    <row r="114" spans="1:2" s="14" customFormat="1" ht="16.5">
      <c r="A114" s="14"/>
      <c r="B114" s="15" t="s">
        <v>59</v>
      </c>
    </row>
    <row r="115" spans="1:2" s="14" customFormat="1" ht="16.5">
      <c r="A115" s="14"/>
      <c r="B115" s="15" t="s">
        <v>57</v>
      </c>
    </row>
    <row r="116" spans="1:2" s="14" customFormat="1" ht="16.5">
      <c r="A116" s="14"/>
      <c r="B116" s="15" t="s">
        <v>55</v>
      </c>
    </row>
    <row r="117" spans="1:2" s="14" customFormat="1" ht="16.5">
      <c r="A117" s="14"/>
      <c r="B117" s="15" t="s">
        <v>56</v>
      </c>
    </row>
    <row r="118" spans="1:2" s="14" customFormat="1" ht="16.5">
      <c r="A118" s="14"/>
      <c r="B118" s="15" t="s">
        <v>60</v>
      </c>
    </row>
    <row r="119" spans="2:2" s="14" customFormat="1" ht="16.5">
      <c r="B119" s="16" t="s">
        <v>45</v>
      </c>
    </row>
    <row r="120" s="14" customFormat="1" ht="16.5"/>
    <row r="121" s="14" customFormat="1" ht="16.5"/>
    <row r="122" s="14" customFormat="1" ht="16.5"/>
    <row r="123" s="14" customFormat="1" ht="16.5"/>
    <row r="124" s="14" customFormat="1" ht="16.5"/>
    <row r="125" s="14" customFormat="1" ht="16.5"/>
    <row r="126" s="14" customFormat="1" ht="16.5"/>
    <row r="127" s="14" customFormat="1" ht="16.5"/>
    <row r="128" s="14" customFormat="1" ht="16.5"/>
    <row r="129" s="14" customFormat="1" ht="16.5"/>
    <row r="130" s="14" customFormat="1" ht="16.5"/>
    <row r="131" s="14" customFormat="1" ht="16.5"/>
    <row r="132" s="14" customFormat="1" ht="16.5"/>
    <row r="133" s="14" customFormat="1" ht="16.5"/>
    <row r="134" s="14" customFormat="1" ht="16.5"/>
    <row r="135" s="14" customFormat="1" ht="16.5"/>
  </sheetData>
  <mergeCells count="53">
    <mergeCell ref="B2:D3"/>
    <mergeCell ref="E2:N2"/>
    <mergeCell ref="O2:X2"/>
    <mergeCell ref="Y2:AG2"/>
    <mergeCell ref="AH2:AN2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T3"/>
    <mergeCell ref="U3:U4"/>
    <mergeCell ref="V3:V4"/>
    <mergeCell ref="W3:W4"/>
    <mergeCell ref="X3:X4"/>
    <mergeCell ref="Y3:Y4"/>
    <mergeCell ref="Z3:Z4"/>
    <mergeCell ref="AA3:AF3"/>
    <mergeCell ref="AG3:AG4"/>
    <mergeCell ref="AH3:AH4"/>
    <mergeCell ref="AI3:AI4"/>
    <mergeCell ref="AJ3:AJ4"/>
    <mergeCell ref="AK3:AK4"/>
    <mergeCell ref="AL3:AL4"/>
    <mergeCell ref="AM3:AM4"/>
    <mergeCell ref="AN3:AN4"/>
    <mergeCell ref="A7:A15"/>
    <mergeCell ref="A17:A104"/>
    <mergeCell ref="B17:B22"/>
    <mergeCell ref="C17:C22"/>
    <mergeCell ref="B23:B36"/>
    <mergeCell ref="C23:C36"/>
    <mergeCell ref="B37:B52"/>
    <mergeCell ref="C37:C52"/>
    <mergeCell ref="B53:B62"/>
    <mergeCell ref="C53:C62"/>
    <mergeCell ref="B63:B74"/>
    <mergeCell ref="C63:C74"/>
    <mergeCell ref="B75:B83"/>
    <mergeCell ref="C75:C83"/>
    <mergeCell ref="B84:B94"/>
    <mergeCell ref="C84:C94"/>
    <mergeCell ref="B95:B101"/>
    <mergeCell ref="C95:C101"/>
    <mergeCell ref="B102:B104"/>
    <mergeCell ref="C102:C104"/>
  </mergeCells>
  <conditionalFormatting sqref="K7:K15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17:K10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7:L15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17:L104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7:M15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17:M10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N7:AN15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N17:AN104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汇总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王小雨</dc:creator>
  <cp:keywords/>
  <dc:description/>
  <cp:lastModifiedBy>刘秀芳</cp:lastModifiedBy>
  <dcterms:created xsi:type="dcterms:W3CDTF">2015-06-05T18:19:34Z</dcterms:created>
  <dcterms:modified xsi:type="dcterms:W3CDTF">2026-05-12T07:09:23Z</dcterms:modified>
  <cp:category/>
</cp:coreProperties>
</file>